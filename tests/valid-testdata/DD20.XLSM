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192" documentId="8_{3F5FD456-64FF-4A2C-9C1B-AE0EF37EDB94}" xr6:coauthVersionLast="47" xr6:coauthVersionMax="47" xr10:uidLastSave="{EE24250E-CB9D-4349-AC0E-98418702AFD7}"/>
  <bookViews>
    <workbookView xWindow="-120" yWindow="-120" windowWidth="38640" windowHeight="21240" xr2:uid="{8AB14B70-EAEB-40B6-B5A9-50243F8442C8}"/>
  </bookViews>
  <sheets>
    <sheet name="Stationsdata" sheetId="2" r:id="rId1"/>
    <sheet name="Linjedata - Sommer" sheetId="3" r:id="rId2"/>
  </sheets>
  <definedNames>
    <definedName name="_xlnm._FilterDatabase" localSheetId="1" hidden="1">'Linjedata - Sommer'!$A$3:$CS$3</definedName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<sst xmlns="http://schemas.openxmlformats.org/spreadsheetml/2006/main" count="422" uniqueCount="90">
  <si>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</si>
  <si>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</si>
  <si>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</si>
  <si>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</si>
  <si>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</si>
  <si>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</si>
  <si>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</si>
  <si>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</si>
  <si>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</si>
  <si>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</si>
  <si>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</si>
  <si>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</si>
  <si>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</si>
  <si>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</si>
  <si>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</si>
  <si>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</si>
  <si>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</si>
  <si>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</si>
  <si>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</si>
  <si>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</si>
  <si>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</si>
  <si>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</si>
  <si>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</si>
  <si>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</si>
  <si>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</si>
  <si>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</si>
  <si>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</si>
  <si>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</si>
  <si>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</si>
  <si>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</si>
  <si>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</si>
  <si>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</si>
  <si>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</si>
  <si>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</si>
  <si>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</si>
  <si>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</si>
  <si>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</si>
  <si>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</si>
  <si>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</si>
  <si>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</si>
  <si>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</si>
  <si>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</si>
  <si>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</si>
  <si>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</si>
  <si>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</si>
  <si>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</si>
  <si>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</si>
  <si>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</si>
  <si>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</si>
  <si>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</si>
  <si>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</si>
  <si>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</si>
  <si>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</si>
  <si>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Luftledertype</t>
  </si>
  <si>
    <t>Land</t>
  </si>
  <si>
    <t>Sea</t>
  </si>
  <si>
    <t>III-ÆØÅ</t>
  </si>
  <si>
    <t>Kontinuer</t>
  </si>
  <si>
    <t>Ledningsoplysninger</t>
  </si>
  <si>
    <t>Kontinuertbelastningsevne</t>
  </si>
  <si>
    <t>Korttidsbelastningsevne u. vindtillæg</t>
  </si>
  <si>
    <t>Korttidsbelastningsevne m. vindtillæg</t>
  </si>
  <si>
    <t>Kontinuert belastning</t>
  </si>
  <si>
    <t>Korttidsbelastningsevne =</t>
  </si>
  <si>
    <t xml:space="preserve">15 min. </t>
  </si>
  <si>
    <t>System</t>
  </si>
  <si>
    <t>DD20 forudsætninger</t>
  </si>
  <si>
    <t>Omgivelsestemp.</t>
  </si>
  <si>
    <t>Sys. Type</t>
  </si>
  <si>
    <t>Temp. Ledning</t>
  </si>
  <si>
    <t>Begrænsende ledning</t>
  </si>
  <si>
    <t>I-kontinuert</t>
  </si>
  <si>
    <t>I-Vindtillæg</t>
  </si>
  <si>
    <t xml:space="preserve">Pre-Load </t>
  </si>
  <si>
    <t>Ik-15 min.</t>
  </si>
  <si>
    <t>Ik 1-time</t>
  </si>
  <si>
    <t>Ik-40 timer</t>
  </si>
  <si>
    <t>Linje</t>
  </si>
  <si>
    <t>Navn</t>
  </si>
  <si>
    <t>°C</t>
  </si>
  <si>
    <t>OHL,KAB,K/L</t>
  </si>
  <si>
    <t>Navn [mm2]</t>
  </si>
  <si>
    <t>%</t>
  </si>
  <si>
    <t>L,K</t>
  </si>
  <si>
    <t>K/L</t>
  </si>
  <si>
    <t>NKT 1x1600</t>
  </si>
  <si>
    <t>KBH kabler: jordtemp: 20C, installeret i beton indkapsling</t>
  </si>
  <si>
    <t>OHL</t>
  </si>
  <si>
    <t>Curlew 1x593</t>
  </si>
  <si>
    <t>Conduck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</si>
</sst>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0" fillId="0" borderId="6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1" fontId="0" fillId="3" borderId="6" xfId="0" applyNumberFormat="1" applyFill="1" applyBorder="1" applyAlignment="1">
      <alignment horizontal="right" wrapText="1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" fontId="0" fillId="0" borderId="5" xfId="0" applyNumberFormat="1" applyBorder="1" applyAlignment="1">
      <alignment horizontal="left"/>
    </xf>
    <xf numFmtId="1" fontId="0" fillId="0" borderId="7" xfId="0" applyNumberFormat="1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8" xfId="0" applyNumberForma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4" fontId="0" fillId="2" borderId="8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0" xfId="0" applyFill="1" applyAlignment="1">
      <alignment horizontal="left"/>
    </xf>
    <xf numFmtId="1" fontId="3" fillId="0" borderId="4" xfId="0" applyNumberFormat="1" applyFont="1" applyBorder="1" applyAlignment="1">
      <alignment horizontal="left"/>
    </xf>
    <xf numFmtId="1" fontId="3" fillId="0" borderId="19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right"/>
    </xf>
    <xf numFmtId="1" fontId="0" fillId="0" borderId="5" xfId="0" applyNumberFormat="1" applyBorder="1" applyAlignment="1">
      <alignment horizontal="right"/>
    </xf>
    <xf numFmtId="1" fontId="4" fillId="0" borderId="4" xfId="0" applyNumberFormat="1" applyFont="1" applyBorder="1" applyAlignment="1">
      <alignment horizontal="right"/>
    </xf>
    <xf numFmtId="1" fontId="4" fillId="0" borderId="19" xfId="0" applyNumberFormat="1" applyFont="1" applyBorder="1" applyAlignment="1">
      <alignment horizontal="right"/>
    </xf>
    <xf numFmtId="1" fontId="3" fillId="0" borderId="19" xfId="0" applyNumberFormat="1" applyFont="1" applyBorder="1" applyAlignment="1">
      <alignment horizontal="right"/>
    </xf>
    <xf numFmtId="14" fontId="0" fillId="0" borderId="8" xfId="0" applyNumberFormat="1" applyBorder="1" applyAlignment="1">
      <alignment horizontal="right"/>
    </xf>
    <xf numFmtId="1" fontId="0" fillId="0" borderId="6" xfId="0" applyNumberFormat="1" applyBorder="1" applyAlignment="1">
      <alignment horizontal="right" wrapText="1"/>
    </xf>
    <xf numFmtId="1" fontId="0" fillId="4" borderId="5" xfId="0" applyNumberFormat="1" applyFill="1" applyBorder="1" applyAlignment="1">
      <alignment horizontal="left"/>
    </xf>
    <xf numFmtId="1" fontId="0" fillId="4" borderId="4" xfId="0" applyNumberFormat="1" applyFill="1" applyBorder="1" applyAlignment="1">
      <alignment horizontal="right"/>
    </xf>
    <xf numFmtId="1" fontId="0" fillId="4" borderId="5" xfId="0" applyNumberFormat="1" applyFill="1" applyBorder="1" applyAlignment="1">
      <alignment horizontal="right"/>
    </xf>
    <xf numFmtId="1" fontId="0" fillId="4" borderId="7" xfId="0" applyNumberFormat="1" applyFill="1" applyBorder="1" applyAlignment="1">
      <alignment horizontal="right"/>
    </xf>
    <xf numFmtId="1" fontId="0" fillId="4" borderId="6" xfId="0" applyNumberFormat="1" applyFill="1" applyBorder="1" applyAlignment="1">
      <alignment horizontal="right"/>
    </xf>
    <xf numFmtId="1" fontId="0" fillId="5" borderId="4" xfId="0" applyNumberFormat="1" applyFill="1" applyBorder="1" applyAlignment="1">
      <alignment horizontal="right"/>
    </xf>
    <xf numFmtId="1" fontId="0" fillId="0" borderId="0" xfId="0" applyNumberFormat="1" applyAlignment="1">
      <alignment horizontal="right"/>
    </xf>
    <xf numFmtId="1" fontId="0" fillId="0" borderId="4" xfId="0" applyNumberFormat="1" applyBorder="1" applyAlignment="1">
      <alignment horizontal="left"/>
    </xf>
    <xf numFmtId="1" fontId="3" fillId="3" borderId="19" xfId="0" applyNumberFormat="1" applyFont="1" applyFill="1" applyBorder="1" applyAlignment="1">
      <alignment horizontal="center"/>
    </xf>
    <xf numFmtId="1" fontId="5" fillId="3" borderId="4" xfId="0" applyNumberFormat="1" applyFont="1" applyFill="1" applyBorder="1" applyAlignment="1">
      <alignment horizontal="right"/>
    </xf>
    <xf numFmtId="1" fontId="0" fillId="3" borderId="19" xfId="0" applyNumberFormat="1" applyFill="1" applyBorder="1" applyAlignment="1">
      <alignment horizontal="right"/>
    </xf>
    <xf numFmtId="1" fontId="5" fillId="3" borderId="5" xfId="0" applyNumberFormat="1" applyFont="1" applyFill="1" applyBorder="1" applyAlignment="1">
      <alignment horizontal="right"/>
    </xf>
    <xf numFmtId="1" fontId="5" fillId="3" borderId="6" xfId="0" applyNumberFormat="1" applyFont="1" applyFill="1" applyBorder="1" applyAlignment="1">
      <alignment horizontal="right"/>
    </xf>
    <xf numFmtId="1" fontId="0" fillId="0" borderId="8" xfId="0" applyNumberForma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4" fontId="0" fillId="3" borderId="8" xfId="0" applyNumberFormat="1" applyFill="1" applyBorder="1" applyAlignment="1">
      <alignment horizontal="right"/>
    </xf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F14"/>
  <sheetViews>
    <sheetView tabSelected="1" workbookViewId="0">
      <selection activeCell="AF14" sqref="AF14"/>
    </sheetView>
  </sheetViews>
  <sheetFormatPr defaultRowHeight="15" x14ac:dyDescent="0.25"/>
  <cols>
    <col min="1" max="1" width="12.7109375" bestFit="1" customWidth="1"/>
    <col min="2" max="2" width="16.85546875" bestFit="1" customWidth="1"/>
    <col min="3" max="3" width="9.42578125" bestFit="1" customWidth="1"/>
    <col min="4" max="4" width="12.140625" bestFit="1" customWidth="1"/>
    <col min="5" max="5" width="9" bestFit="1" customWidth="1"/>
    <col min="6" max="9" width="5" bestFit="1" customWidth="1"/>
    <col min="10" max="10" width="4.5703125" bestFit="1" customWidth="1"/>
    <col min="11" max="11" width="7.5703125" bestFit="1" customWidth="1"/>
    <col min="12" max="12" width="5" bestFit="1" customWidth="1"/>
    <col min="13" max="13" width="4.5703125" bestFit="1" customWidth="1"/>
    <col min="14" max="14" width="12.140625" bestFit="1" customWidth="1"/>
    <col min="15" max="15" width="9" bestFit="1" customWidth="1"/>
    <col min="16" max="19" width="5" bestFit="1" customWidth="1"/>
    <col min="20" max="20" width="4.5703125" bestFit="1" customWidth="1"/>
    <col min="21" max="21" width="11.140625" bestFit="1" customWidth="1"/>
    <col min="22" max="22" width="5" bestFit="1" customWidth="1"/>
    <col min="23" max="23" width="4.5703125" bestFit="1" customWidth="1"/>
    <col min="24" max="24" width="5.140625" bestFit="1" customWidth="1"/>
    <col min="25" max="25" width="9" bestFit="1" customWidth="1"/>
    <col min="27" max="27" width="10" bestFit="1" customWidth="1"/>
    <col min="28" max="28" width="10.28515625" bestFit="1" customWidth="1"/>
    <col min="29" max="29" width="6.85546875" bestFit="1" customWidth="1"/>
    <col min="30" max="30" width="6.5703125" bestFit="1" customWidth="1"/>
    <col min="31" max="31" width="8.28515625" bestFit="1" customWidth="1"/>
    <col min="32" max="32" width="13.28515625" bestFit="1" customWidth="1"/>
  </cols>
  <sheetData>
    <row r="1" spans="1:32" x14ac:dyDescent="0.25">
      <c r="A1" s="125" t="s">
        <v>0</v>
      </c>
      <c r="B1" s="134"/>
      <c r="C1" s="126"/>
      <c r="D1" s="125" t="s">
        <v>1</v>
      </c>
      <c r="E1" s="134"/>
      <c r="F1" s="134"/>
      <c r="G1" s="134"/>
      <c r="H1" s="134"/>
      <c r="I1" s="134"/>
      <c r="J1" s="134"/>
      <c r="K1" s="134"/>
      <c r="L1" s="134"/>
      <c r="M1" s="126"/>
      <c r="N1" s="125" t="s">
        <v>2</v>
      </c>
      <c r="O1" s="134"/>
      <c r="P1" s="134"/>
      <c r="Q1" s="134"/>
      <c r="R1" s="134"/>
      <c r="S1" s="134"/>
      <c r="T1" s="134"/>
      <c r="U1" s="134"/>
      <c r="V1" s="134"/>
      <c r="W1" s="126"/>
      <c r="X1" s="125" t="s">
        <v>3</v>
      </c>
      <c r="Y1" s="126"/>
      <c r="AA1" s="127" t="s">
        <v>4</v>
      </c>
      <c r="AB1" s="128"/>
      <c r="AC1" s="128"/>
      <c r="AD1" s="128"/>
      <c r="AE1" s="129"/>
    </row>
    <row r="2" spans="1:32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130" t="s">
        <v>9</v>
      </c>
      <c r="F2" s="131"/>
      <c r="G2" s="4" t="s">
        <v>10</v>
      </c>
      <c r="H2" s="4" t="s">
        <v>11</v>
      </c>
      <c r="I2" s="4" t="s">
        <v>12</v>
      </c>
      <c r="J2" s="4" t="s">
        <v>13</v>
      </c>
      <c r="K2" s="132" t="s">
        <v>14</v>
      </c>
      <c r="L2" s="133"/>
      <c r="M2" s="5" t="s">
        <v>15</v>
      </c>
      <c r="N2" s="1" t="s">
        <v>8</v>
      </c>
      <c r="O2" s="130" t="s">
        <v>16</v>
      </c>
      <c r="P2" s="131"/>
      <c r="Q2" s="4" t="s">
        <v>17</v>
      </c>
      <c r="R2" s="4" t="s">
        <v>18</v>
      </c>
      <c r="S2" s="4" t="s">
        <v>19</v>
      </c>
      <c r="T2" s="4" t="s">
        <v>20</v>
      </c>
      <c r="U2" s="132" t="s">
        <v>21</v>
      </c>
      <c r="V2" s="133"/>
      <c r="W2" s="5" t="s">
        <v>22</v>
      </c>
      <c r="X2" s="6" t="s">
        <v>23</v>
      </c>
      <c r="Y2" s="7" t="s">
        <v>24</v>
      </c>
      <c r="AA2" s="8" t="s">
        <v>25</v>
      </c>
      <c r="AB2" s="3" t="s">
        <v>57</v>
      </c>
      <c r="AC2" s="3" t="s">
        <v>26</v>
      </c>
      <c r="AD2" s="3" t="s">
        <v>27</v>
      </c>
      <c r="AE2" s="9" t="s">
        <v>28</v>
      </c>
      <c r="AF2" s="69" t="s">
        <v>53</v>
      </c>
    </row>
    <row r="3" spans="1:32" x14ac:dyDescent="0.25">
      <c r="A3" s="10"/>
      <c r="B3" s="1" t="s">
        <v>29</v>
      </c>
      <c r="C3" s="4" t="s">
        <v>30</v>
      </c>
      <c r="D3" s="11" t="s">
        <v>31</v>
      </c>
      <c r="E3" s="4" t="s">
        <v>32</v>
      </c>
      <c r="F3" s="12" t="s">
        <v>33</v>
      </c>
      <c r="G3" s="4" t="s">
        <v>33</v>
      </c>
      <c r="H3" s="4" t="s">
        <v>33</v>
      </c>
      <c r="I3" s="4" t="s">
        <v>33</v>
      </c>
      <c r="J3" s="4" t="s">
        <v>33</v>
      </c>
      <c r="K3" s="13" t="s">
        <v>34</v>
      </c>
      <c r="L3" s="14" t="s">
        <v>33</v>
      </c>
      <c r="M3" s="5" t="s">
        <v>33</v>
      </c>
      <c r="N3" s="11" t="s">
        <v>31</v>
      </c>
      <c r="O3" s="4" t="s">
        <v>32</v>
      </c>
      <c r="P3" s="12" t="s">
        <v>33</v>
      </c>
      <c r="Q3" s="4" t="s">
        <v>33</v>
      </c>
      <c r="R3" s="4" t="s">
        <v>33</v>
      </c>
      <c r="S3" s="4" t="s">
        <v>33</v>
      </c>
      <c r="T3" s="4" t="s">
        <v>33</v>
      </c>
      <c r="U3" s="13" t="s">
        <v>34</v>
      </c>
      <c r="V3" s="14" t="s">
        <v>33</v>
      </c>
      <c r="W3" s="5" t="s">
        <v>33</v>
      </c>
      <c r="X3" s="15"/>
      <c r="Y3" s="16"/>
      <c r="AA3" s="8"/>
      <c r="AB3" s="17" t="s">
        <v>33</v>
      </c>
      <c r="AC3" s="17" t="s">
        <v>33</v>
      </c>
      <c r="AD3" s="17" t="s">
        <v>33</v>
      </c>
      <c r="AE3" s="18" t="s">
        <v>33</v>
      </c>
    </row>
    <row r="4" spans="1:32" x14ac:dyDescent="0.25">
      <c r="A4" s="19" t="s">
        <v>35</v>
      </c>
      <c r="B4" s="20"/>
      <c r="C4" s="21"/>
      <c r="D4" s="22"/>
      <c r="E4" s="21"/>
      <c r="F4" s="23"/>
      <c r="G4" s="21"/>
      <c r="H4" s="21"/>
      <c r="I4" s="21"/>
      <c r="J4" s="21"/>
      <c r="K4" s="24"/>
      <c r="L4" s="25"/>
      <c r="M4" s="26"/>
      <c r="N4" s="22"/>
      <c r="O4" s="21"/>
      <c r="P4" s="27"/>
      <c r="Q4" s="21"/>
      <c r="R4" s="21"/>
      <c r="S4" s="21"/>
      <c r="T4" s="21"/>
      <c r="U4" s="24"/>
      <c r="V4" s="25"/>
      <c r="W4" s="26"/>
      <c r="X4" s="28"/>
      <c r="Y4" s="29"/>
      <c r="AA4" s="30"/>
      <c r="AB4" s="31"/>
      <c r="AC4" s="31"/>
      <c r="AD4" s="31"/>
      <c r="AE4" s="32"/>
    </row>
    <row r="5" spans="1:32" x14ac:dyDescent="0.25">
      <c r="A5" s="33" t="s">
        <v>46</v>
      </c>
      <c r="B5" s="34">
        <v>132</v>
      </c>
      <c r="C5" s="35">
        <v>1</v>
      </c>
      <c r="D5" s="46" t="s">
        <v>43</v>
      </c>
      <c r="E5" s="47" t="s">
        <v>37</v>
      </c>
      <c r="F5" s="48">
        <v>455</v>
      </c>
      <c r="G5" s="35">
        <v>2450</v>
      </c>
      <c r="H5" s="35">
        <v>1234</v>
      </c>
      <c r="I5" s="35">
        <v>1111</v>
      </c>
      <c r="J5" s="35" t="s">
        <v>38</v>
      </c>
      <c r="K5" s="39" t="s">
        <v>39</v>
      </c>
      <c r="L5" s="39">
        <v>879</v>
      </c>
      <c r="M5" s="49" t="s">
        <v>38</v>
      </c>
      <c r="N5" s="46" t="s">
        <v>43</v>
      </c>
      <c r="O5" s="47" t="s">
        <v>37</v>
      </c>
      <c r="P5" s="35">
        <v>456</v>
      </c>
      <c r="Q5" s="35">
        <v>2411</v>
      </c>
      <c r="R5" s="35">
        <v>1250</v>
      </c>
      <c r="S5" s="35">
        <v>1250</v>
      </c>
      <c r="T5" s="35" t="s">
        <v>38</v>
      </c>
      <c r="U5" s="39" t="str">
        <f t="shared" ref="U5:V6" si="0">K5</f>
        <v>Relæ</v>
      </c>
      <c r="V5" s="39">
        <f t="shared" si="0"/>
        <v>879</v>
      </c>
      <c r="W5" s="49" t="s">
        <v>38</v>
      </c>
      <c r="X5" s="50"/>
      <c r="Y5" s="51"/>
      <c r="Z5" s="43"/>
      <c r="AA5" s="44" t="s">
        <v>54</v>
      </c>
      <c r="AB5" s="13">
        <v>700</v>
      </c>
      <c r="AC5" s="13">
        <v>1100</v>
      </c>
      <c r="AD5" s="13">
        <v>900</v>
      </c>
      <c r="AE5" s="45">
        <v>800</v>
      </c>
      <c r="AF5" t="s">
        <v>89</v>
      </c>
    </row>
    <row r="6" spans="1:32" x14ac:dyDescent="0.25">
      <c r="A6" s="33" t="s">
        <v>47</v>
      </c>
      <c r="B6" s="34">
        <v>132</v>
      </c>
      <c r="C6" s="35">
        <v>1</v>
      </c>
      <c r="D6" s="46" t="s">
        <v>43</v>
      </c>
      <c r="E6" s="47" t="s">
        <v>37</v>
      </c>
      <c r="F6" s="48">
        <v>455</v>
      </c>
      <c r="G6" s="35">
        <v>2450</v>
      </c>
      <c r="H6" s="35">
        <v>1234</v>
      </c>
      <c r="I6" s="35">
        <v>1111</v>
      </c>
      <c r="J6" s="35" t="s">
        <v>38</v>
      </c>
      <c r="K6" s="39" t="s">
        <v>39</v>
      </c>
      <c r="L6" s="39">
        <v>879</v>
      </c>
      <c r="M6" s="49" t="s">
        <v>38</v>
      </c>
      <c r="N6" s="46" t="s">
        <v>43</v>
      </c>
      <c r="O6" s="47" t="s">
        <v>37</v>
      </c>
      <c r="P6" s="35">
        <v>456</v>
      </c>
      <c r="Q6" s="35">
        <v>2411</v>
      </c>
      <c r="R6" s="35">
        <v>1250</v>
      </c>
      <c r="S6" s="35">
        <v>1250</v>
      </c>
      <c r="T6" s="35" t="s">
        <v>38</v>
      </c>
      <c r="U6" s="39" t="str">
        <f t="shared" si="0"/>
        <v>Relæ</v>
      </c>
      <c r="V6" s="39">
        <f t="shared" si="0"/>
        <v>879</v>
      </c>
      <c r="W6" s="49" t="s">
        <v>38</v>
      </c>
      <c r="X6" s="50"/>
      <c r="Y6" s="51"/>
      <c r="Z6" s="43"/>
      <c r="AA6" s="44" t="s">
        <v>54</v>
      </c>
      <c r="AB6" s="13">
        <v>700</v>
      </c>
      <c r="AC6" s="13">
        <v>1100</v>
      </c>
      <c r="AD6" s="13">
        <v>900</v>
      </c>
      <c r="AE6" s="45">
        <v>800</v>
      </c>
      <c r="AF6" t="s">
        <v>89</v>
      </c>
    </row>
    <row r="7" spans="1:32" x14ac:dyDescent="0.25">
      <c r="A7" s="58" t="s">
        <v>48</v>
      </c>
      <c r="B7" s="53">
        <v>132</v>
      </c>
      <c r="C7" s="52">
        <v>1</v>
      </c>
      <c r="D7" s="54" t="s">
        <v>36</v>
      </c>
      <c r="E7" s="47" t="s">
        <v>37</v>
      </c>
      <c r="F7" s="52">
        <v>1111</v>
      </c>
      <c r="G7" s="35" t="s">
        <v>38</v>
      </c>
      <c r="H7" s="35" t="s">
        <v>38</v>
      </c>
      <c r="I7" s="35" t="s">
        <v>38</v>
      </c>
      <c r="J7" s="52" t="s">
        <v>38</v>
      </c>
      <c r="K7" s="39" t="s">
        <v>39</v>
      </c>
      <c r="L7" s="39">
        <v>2290</v>
      </c>
      <c r="M7" s="55" t="s">
        <v>38</v>
      </c>
      <c r="N7" s="54" t="s">
        <v>36</v>
      </c>
      <c r="O7" s="47" t="s">
        <v>37</v>
      </c>
      <c r="P7" s="52">
        <v>3333</v>
      </c>
      <c r="Q7" s="52">
        <v>3179</v>
      </c>
      <c r="R7" s="52">
        <v>3150</v>
      </c>
      <c r="S7" s="52">
        <v>3150</v>
      </c>
      <c r="T7" s="52" t="s">
        <v>38</v>
      </c>
      <c r="U7" s="39" t="s">
        <v>39</v>
      </c>
      <c r="V7" s="39">
        <v>2290</v>
      </c>
      <c r="W7" s="55" t="s">
        <v>38</v>
      </c>
      <c r="X7" s="56"/>
      <c r="Y7" s="57"/>
      <c r="AA7" s="8"/>
      <c r="AB7" s="17"/>
      <c r="AC7" s="17"/>
      <c r="AD7" s="17"/>
      <c r="AE7" s="18"/>
      <c r="AF7" t="s">
        <v>89</v>
      </c>
    </row>
    <row r="8" spans="1:32" x14ac:dyDescent="0.25">
      <c r="A8" s="58" t="s">
        <v>49</v>
      </c>
      <c r="B8" s="53">
        <v>132</v>
      </c>
      <c r="C8" s="52">
        <v>2</v>
      </c>
      <c r="D8" s="54" t="s">
        <v>36</v>
      </c>
      <c r="E8" s="47" t="s">
        <v>37</v>
      </c>
      <c r="F8" s="52">
        <v>1111</v>
      </c>
      <c r="G8" s="35" t="s">
        <v>38</v>
      </c>
      <c r="H8" s="35" t="s">
        <v>38</v>
      </c>
      <c r="I8" s="35" t="s">
        <v>38</v>
      </c>
      <c r="J8" s="52" t="s">
        <v>38</v>
      </c>
      <c r="K8" s="39" t="s">
        <v>39</v>
      </c>
      <c r="L8" s="39">
        <v>2290</v>
      </c>
      <c r="M8" s="55" t="s">
        <v>38</v>
      </c>
      <c r="N8" s="54" t="s">
        <v>36</v>
      </c>
      <c r="O8" s="47" t="s">
        <v>37</v>
      </c>
      <c r="P8" s="52">
        <v>3333</v>
      </c>
      <c r="Q8" s="52">
        <v>3179</v>
      </c>
      <c r="R8" s="52">
        <v>3150</v>
      </c>
      <c r="S8" s="52">
        <v>3150</v>
      </c>
      <c r="T8" s="52" t="s">
        <v>38</v>
      </c>
      <c r="U8" s="39" t="s">
        <v>39</v>
      </c>
      <c r="V8" s="39">
        <v>2290</v>
      </c>
      <c r="W8" s="55" t="s">
        <v>38</v>
      </c>
      <c r="X8" s="56"/>
      <c r="Y8" s="57"/>
      <c r="AA8" s="8"/>
      <c r="AB8" s="17"/>
      <c r="AC8" s="17"/>
      <c r="AD8" s="17"/>
      <c r="AE8" s="18"/>
      <c r="AF8" t="s">
        <v>89</v>
      </c>
    </row>
    <row r="9" spans="1:32" x14ac:dyDescent="0.25">
      <c r="A9" s="59" t="s">
        <v>50</v>
      </c>
      <c r="B9" s="60"/>
      <c r="C9" s="61"/>
      <c r="D9" s="62"/>
      <c r="E9" s="63"/>
      <c r="F9" s="61"/>
      <c r="G9" s="61"/>
      <c r="H9" s="61"/>
      <c r="I9" s="61"/>
      <c r="J9" s="61"/>
      <c r="K9" s="64"/>
      <c r="L9" s="64"/>
      <c r="M9" s="65"/>
      <c r="N9" s="62"/>
      <c r="O9" s="63"/>
      <c r="P9" s="61"/>
      <c r="Q9" s="61"/>
      <c r="R9" s="61"/>
      <c r="S9" s="61"/>
      <c r="T9" s="61"/>
      <c r="U9" s="66"/>
      <c r="V9" s="66"/>
      <c r="W9" s="65"/>
      <c r="X9" s="67"/>
      <c r="Y9" s="68"/>
      <c r="AA9" s="30"/>
      <c r="AB9" s="31"/>
      <c r="AC9" s="31"/>
      <c r="AD9" s="31"/>
      <c r="AE9" s="32"/>
    </row>
    <row r="10" spans="1:32" x14ac:dyDescent="0.25">
      <c r="A10" s="33" t="s">
        <v>44</v>
      </c>
      <c r="B10" s="34">
        <v>150</v>
      </c>
      <c r="C10" s="35">
        <v>1</v>
      </c>
      <c r="D10" s="36" t="s">
        <v>36</v>
      </c>
      <c r="E10" s="37" t="s">
        <v>37</v>
      </c>
      <c r="F10" s="38">
        <v>1222</v>
      </c>
      <c r="G10" s="39">
        <v>3111</v>
      </c>
      <c r="H10" s="39">
        <v>1555</v>
      </c>
      <c r="I10" s="39">
        <v>2444</v>
      </c>
      <c r="J10" s="39" t="s">
        <v>38</v>
      </c>
      <c r="K10" s="39" t="s">
        <v>39</v>
      </c>
      <c r="L10" s="39">
        <v>2444</v>
      </c>
      <c r="M10" s="40" t="s">
        <v>38</v>
      </c>
      <c r="N10" s="36" t="s">
        <v>36</v>
      </c>
      <c r="O10" s="37" t="s">
        <v>37</v>
      </c>
      <c r="P10" s="39">
        <v>1222</v>
      </c>
      <c r="Q10" s="39">
        <v>3111</v>
      </c>
      <c r="R10" s="39">
        <v>1666</v>
      </c>
      <c r="S10" s="39">
        <v>1666</v>
      </c>
      <c r="T10" s="39" t="s">
        <v>38</v>
      </c>
      <c r="U10" t="s">
        <v>40</v>
      </c>
      <c r="V10" s="39">
        <v>1593</v>
      </c>
      <c r="W10" s="40" t="s">
        <v>38</v>
      </c>
      <c r="X10" s="41" t="s">
        <v>41</v>
      </c>
      <c r="Y10" s="42"/>
      <c r="Z10" s="43"/>
      <c r="AA10" s="44" t="s">
        <v>55</v>
      </c>
      <c r="AB10" s="13">
        <v>800</v>
      </c>
      <c r="AC10" s="13">
        <v>1200</v>
      </c>
      <c r="AD10" s="13">
        <v>1000</v>
      </c>
      <c r="AE10" s="45">
        <v>900</v>
      </c>
      <c r="AF10" t="s">
        <v>89</v>
      </c>
    </row>
    <row r="11" spans="1:32" x14ac:dyDescent="0.25">
      <c r="A11" s="59" t="s">
        <v>51</v>
      </c>
      <c r="B11" s="60"/>
      <c r="C11" s="61"/>
      <c r="D11" s="62"/>
      <c r="E11" s="63"/>
      <c r="F11" s="61"/>
      <c r="G11" s="61"/>
      <c r="H11" s="61"/>
      <c r="I11" s="61"/>
      <c r="J11" s="61"/>
      <c r="K11" s="64"/>
      <c r="L11" s="64"/>
      <c r="M11" s="65"/>
      <c r="N11" s="62"/>
      <c r="O11" s="63"/>
      <c r="P11" s="61"/>
      <c r="Q11" s="61"/>
      <c r="R11" s="61"/>
      <c r="S11" s="61"/>
      <c r="T11" s="61"/>
      <c r="U11" s="66"/>
      <c r="V11" s="66"/>
      <c r="W11" s="65"/>
      <c r="X11" s="67"/>
      <c r="Y11" s="68"/>
      <c r="AA11" s="30"/>
      <c r="AB11" s="31"/>
      <c r="AC11" s="31"/>
      <c r="AD11" s="31"/>
      <c r="AE11" s="32"/>
    </row>
    <row r="12" spans="1:32" x14ac:dyDescent="0.25">
      <c r="A12" s="33" t="s">
        <v>45</v>
      </c>
      <c r="B12" s="34">
        <v>220</v>
      </c>
      <c r="C12" s="35">
        <v>1</v>
      </c>
      <c r="D12" s="46" t="s">
        <v>36</v>
      </c>
      <c r="E12" s="47" t="s">
        <v>37</v>
      </c>
      <c r="F12" s="48">
        <v>1333</v>
      </c>
      <c r="G12" s="35">
        <v>3111</v>
      </c>
      <c r="H12" s="35">
        <v>1555</v>
      </c>
      <c r="I12" s="35">
        <v>2444</v>
      </c>
      <c r="J12" s="35" t="s">
        <v>38</v>
      </c>
      <c r="K12" s="39" t="s">
        <v>39</v>
      </c>
      <c r="L12" s="39">
        <v>2111</v>
      </c>
      <c r="M12" s="49" t="s">
        <v>38</v>
      </c>
      <c r="N12" s="46" t="s">
        <v>36</v>
      </c>
      <c r="O12" s="47" t="s">
        <v>42</v>
      </c>
      <c r="P12" s="35">
        <v>1444</v>
      </c>
      <c r="Q12" s="35">
        <v>2488</v>
      </c>
      <c r="R12" s="35" t="s">
        <v>38</v>
      </c>
      <c r="S12" s="35">
        <v>2500</v>
      </c>
      <c r="T12" s="35" t="s">
        <v>38</v>
      </c>
      <c r="U12" s="39" t="str">
        <f>K12</f>
        <v>Relæ</v>
      </c>
      <c r="V12" s="39">
        <v>2617</v>
      </c>
      <c r="W12" s="49" t="s">
        <v>38</v>
      </c>
      <c r="X12" s="50"/>
      <c r="Y12" s="51"/>
      <c r="Z12" s="43"/>
      <c r="AA12" s="44"/>
      <c r="AB12" s="13"/>
      <c r="AC12" s="13"/>
      <c r="AD12" s="13"/>
      <c r="AE12" s="45"/>
      <c r="AF12" t="s">
        <v>89</v>
      </c>
    </row>
    <row r="13" spans="1:32" x14ac:dyDescent="0.25">
      <c r="A13" s="59" t="s">
        <v>52</v>
      </c>
      <c r="B13" s="60"/>
      <c r="C13" s="61"/>
      <c r="D13" s="62"/>
      <c r="E13" s="63"/>
      <c r="F13" s="61"/>
      <c r="G13" s="61"/>
      <c r="H13" s="61"/>
      <c r="I13" s="61"/>
      <c r="J13" s="61"/>
      <c r="K13" s="64"/>
      <c r="L13" s="64"/>
      <c r="M13" s="65"/>
      <c r="N13" s="62"/>
      <c r="O13" s="63"/>
      <c r="P13" s="61"/>
      <c r="Q13" s="61"/>
      <c r="R13" s="61"/>
      <c r="S13" s="61"/>
      <c r="T13" s="61"/>
      <c r="U13" s="66"/>
      <c r="V13" s="66"/>
      <c r="W13" s="65"/>
      <c r="X13" s="67"/>
      <c r="Y13" s="68"/>
      <c r="AA13" s="30"/>
      <c r="AB13" s="31"/>
      <c r="AC13" s="31"/>
      <c r="AD13" s="31"/>
      <c r="AE13" s="32"/>
    </row>
    <row r="14" spans="1:32" x14ac:dyDescent="0.25">
      <c r="A14" s="58" t="s">
        <v>56</v>
      </c>
      <c r="B14" s="53">
        <v>400</v>
      </c>
      <c r="C14" s="52">
        <v>1</v>
      </c>
      <c r="D14" s="54" t="s">
        <v>36</v>
      </c>
      <c r="E14" s="47" t="s">
        <v>37</v>
      </c>
      <c r="F14" s="52">
        <v>1444</v>
      </c>
      <c r="G14" s="35" t="s">
        <v>38</v>
      </c>
      <c r="H14" s="35" t="s">
        <v>38</v>
      </c>
      <c r="I14" s="35" t="s">
        <v>38</v>
      </c>
      <c r="J14" s="52" t="s">
        <v>38</v>
      </c>
      <c r="K14" s="39" t="s">
        <v>39</v>
      </c>
      <c r="L14" s="39">
        <v>2222</v>
      </c>
      <c r="M14" s="55" t="s">
        <v>38</v>
      </c>
      <c r="N14" s="54" t="s">
        <v>36</v>
      </c>
      <c r="O14" s="47" t="s">
        <v>37</v>
      </c>
      <c r="P14" s="52">
        <v>2999</v>
      </c>
      <c r="Q14" s="52">
        <v>2699</v>
      </c>
      <c r="R14" s="52">
        <v>3150</v>
      </c>
      <c r="S14" s="52">
        <v>3150</v>
      </c>
      <c r="T14" s="52" t="s">
        <v>38</v>
      </c>
      <c r="U14" s="39" t="s">
        <v>39</v>
      </c>
      <c r="V14" s="39">
        <v>2290</v>
      </c>
      <c r="W14" s="55" t="s">
        <v>38</v>
      </c>
      <c r="X14" s="56"/>
      <c r="Y14" s="57"/>
      <c r="AA14" s="8"/>
      <c r="AB14" s="17"/>
      <c r="AC14" s="17"/>
      <c r="AD14" s="17"/>
      <c r="AE14" s="18"/>
      <c r="AF14" t="s">
        <v>89</v>
      </c>
    </row>
  </sheetData>
  <autoFilter ref="A3:AF3" xr:uid="{B63F93B4-1049-479A-BB17-999674712852}"/>
  <mergeCells count="9">
    <mergeCell ref="A1:C1"/>
    <mergeCell ref="D1:M1"/>
    <mergeCell ref="N1:W1"/>
    <mergeCell ref="X1:Y1"/>
    <mergeCell ref="AA1:AE1"/>
    <mergeCell ref="E2:F2"/>
    <mergeCell ref="K2:L2"/>
    <mergeCell ref="O2:P2"/>
    <mergeCell ref="U2:V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E297-D158-4A6A-9233-A9CE69B02623}">
  <dimension ref="A1:CS14"/>
  <sheetViews>
    <sheetView topLeftCell="BX1" workbookViewId="0">
      <selection activeCell="DJ5" sqref="DJ5"/>
    </sheetView>
  </sheetViews>
  <sheetFormatPr defaultRowHeight="15" x14ac:dyDescent="0.25"/>
  <sheetData>
    <row r="1" spans="1:97" s="79" customFormat="1" x14ac:dyDescent="0.25">
      <c r="A1" s="125" t="s">
        <v>0</v>
      </c>
      <c r="B1" s="126"/>
      <c r="C1" s="142" t="s">
        <v>58</v>
      </c>
      <c r="D1" s="143"/>
      <c r="E1" s="143"/>
      <c r="F1" s="143"/>
      <c r="G1" s="143"/>
      <c r="H1" s="144"/>
      <c r="I1" s="125" t="s">
        <v>59</v>
      </c>
      <c r="J1" s="126"/>
      <c r="K1" s="125" t="s">
        <v>60</v>
      </c>
      <c r="L1" s="134"/>
      <c r="M1" s="134"/>
      <c r="N1" s="126"/>
      <c r="O1" s="125" t="s">
        <v>61</v>
      </c>
      <c r="P1" s="134"/>
      <c r="Q1" s="134"/>
      <c r="R1" s="126"/>
      <c r="S1" s="125" t="s">
        <v>3</v>
      </c>
      <c r="T1" s="126"/>
      <c r="U1" s="138" t="s">
        <v>1</v>
      </c>
      <c r="V1" s="138"/>
      <c r="W1" s="138"/>
      <c r="X1" s="138"/>
      <c r="Y1" s="138"/>
      <c r="Z1" s="138"/>
      <c r="AA1" s="138"/>
      <c r="AB1" s="138"/>
      <c r="AC1" s="138"/>
      <c r="AD1" s="138"/>
      <c r="AE1" s="138" t="s">
        <v>2</v>
      </c>
      <c r="AF1" s="138"/>
      <c r="AG1" s="138"/>
      <c r="AH1" s="138"/>
      <c r="AI1" s="138"/>
      <c r="AJ1" s="138"/>
      <c r="AK1" s="138"/>
      <c r="AL1" s="138"/>
      <c r="AM1" s="138"/>
      <c r="AN1" s="138"/>
      <c r="AO1" s="125" t="s">
        <v>62</v>
      </c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26"/>
      <c r="BD1" s="70"/>
      <c r="BE1" s="76" t="s">
        <v>63</v>
      </c>
      <c r="BF1" s="71"/>
      <c r="BG1" s="71" t="s">
        <v>64</v>
      </c>
      <c r="BH1" s="71"/>
      <c r="BI1" s="71"/>
      <c r="BJ1" s="71"/>
      <c r="BK1" s="71"/>
      <c r="BL1" s="71"/>
      <c r="BM1" s="71"/>
      <c r="BN1" s="71"/>
      <c r="BO1" s="71"/>
      <c r="BP1" s="71"/>
      <c r="BQ1" s="72"/>
      <c r="BR1" s="70"/>
      <c r="BS1" s="71" t="s">
        <v>63</v>
      </c>
      <c r="BT1" s="71"/>
      <c r="BU1" s="71" t="s">
        <v>27</v>
      </c>
      <c r="BV1" s="71"/>
      <c r="BW1" s="71"/>
      <c r="BX1" s="71"/>
      <c r="BY1" s="71"/>
      <c r="BZ1" s="71"/>
      <c r="CA1" s="71"/>
      <c r="CB1" s="71"/>
      <c r="CC1" s="71"/>
      <c r="CD1" s="71"/>
      <c r="CE1" s="72"/>
      <c r="CF1" s="77"/>
      <c r="CG1" s="78" t="s">
        <v>63</v>
      </c>
      <c r="CH1" s="78"/>
      <c r="CI1" s="71" t="s">
        <v>28</v>
      </c>
      <c r="CJ1" s="71"/>
      <c r="CK1" s="71"/>
      <c r="CL1" s="71"/>
      <c r="CM1" s="71"/>
      <c r="CN1" s="71"/>
      <c r="CO1" s="71"/>
      <c r="CP1" s="71"/>
      <c r="CQ1" s="71"/>
      <c r="CR1" s="71"/>
      <c r="CS1" s="72"/>
    </row>
    <row r="2" spans="1:97" s="79" customFormat="1" ht="30" x14ac:dyDescent="0.25">
      <c r="A2" s="1" t="s">
        <v>65</v>
      </c>
      <c r="B2" s="75" t="s">
        <v>66</v>
      </c>
      <c r="C2" s="73" t="s">
        <v>6</v>
      </c>
      <c r="D2" s="74" t="s">
        <v>67</v>
      </c>
      <c r="E2" s="74" t="s">
        <v>68</v>
      </c>
      <c r="F2" s="74" t="s">
        <v>69</v>
      </c>
      <c r="G2" s="74" t="s">
        <v>7</v>
      </c>
      <c r="H2" s="75" t="s">
        <v>70</v>
      </c>
      <c r="I2" s="73" t="s">
        <v>71</v>
      </c>
      <c r="J2" s="80" t="s">
        <v>72</v>
      </c>
      <c r="K2" s="73" t="s">
        <v>73</v>
      </c>
      <c r="L2" s="74" t="s">
        <v>74</v>
      </c>
      <c r="M2" s="81" t="s">
        <v>75</v>
      </c>
      <c r="N2" s="82" t="s">
        <v>76</v>
      </c>
      <c r="O2" s="73" t="s">
        <v>73</v>
      </c>
      <c r="P2" s="74" t="s">
        <v>74</v>
      </c>
      <c r="Q2" s="83" t="s">
        <v>75</v>
      </c>
      <c r="R2" s="84" t="s">
        <v>76</v>
      </c>
      <c r="S2" s="85" t="s">
        <v>23</v>
      </c>
      <c r="T2" s="7" t="s">
        <v>24</v>
      </c>
      <c r="U2" s="86" t="s">
        <v>8</v>
      </c>
      <c r="V2" s="139" t="s">
        <v>9</v>
      </c>
      <c r="W2" s="140"/>
      <c r="X2" s="86" t="s">
        <v>10</v>
      </c>
      <c r="Y2" s="86" t="s">
        <v>11</v>
      </c>
      <c r="Z2" s="86" t="s">
        <v>12</v>
      </c>
      <c r="AA2" s="86" t="s">
        <v>13</v>
      </c>
      <c r="AB2" s="139" t="s">
        <v>14</v>
      </c>
      <c r="AC2" s="140"/>
      <c r="AD2" s="86" t="s">
        <v>15</v>
      </c>
      <c r="AE2" s="86" t="s">
        <v>8</v>
      </c>
      <c r="AF2" s="139" t="s">
        <v>16</v>
      </c>
      <c r="AG2" s="140"/>
      <c r="AH2" s="86" t="s">
        <v>17</v>
      </c>
      <c r="AI2" s="86" t="s">
        <v>18</v>
      </c>
      <c r="AJ2" s="86" t="s">
        <v>19</v>
      </c>
      <c r="AK2" s="86" t="s">
        <v>20</v>
      </c>
      <c r="AL2" s="139" t="s">
        <v>21</v>
      </c>
      <c r="AM2" s="140"/>
      <c r="AN2" s="87" t="s">
        <v>22</v>
      </c>
      <c r="AO2" s="73" t="s">
        <v>77</v>
      </c>
      <c r="AP2" s="141" t="s">
        <v>1</v>
      </c>
      <c r="AQ2" s="136"/>
      <c r="AR2" s="136"/>
      <c r="AS2" s="136"/>
      <c r="AT2" s="136"/>
      <c r="AU2" s="136"/>
      <c r="AV2" s="137"/>
      <c r="AW2" s="135" t="s">
        <v>2</v>
      </c>
      <c r="AX2" s="136"/>
      <c r="AY2" s="136"/>
      <c r="AZ2" s="136"/>
      <c r="BA2" s="136"/>
      <c r="BB2" s="136"/>
      <c r="BC2" s="137"/>
      <c r="BD2" s="135" t="s">
        <v>1</v>
      </c>
      <c r="BE2" s="136"/>
      <c r="BF2" s="136"/>
      <c r="BG2" s="136"/>
      <c r="BH2" s="136"/>
      <c r="BI2" s="136"/>
      <c r="BJ2" s="137"/>
      <c r="BK2" s="135" t="s">
        <v>2</v>
      </c>
      <c r="BL2" s="136"/>
      <c r="BM2" s="136"/>
      <c r="BN2" s="136"/>
      <c r="BO2" s="136"/>
      <c r="BP2" s="136"/>
      <c r="BQ2" s="137"/>
      <c r="BR2" s="135" t="s">
        <v>1</v>
      </c>
      <c r="BS2" s="136"/>
      <c r="BT2" s="136"/>
      <c r="BU2" s="136"/>
      <c r="BV2" s="136"/>
      <c r="BW2" s="136"/>
      <c r="BX2" s="137"/>
      <c r="BY2" s="135" t="s">
        <v>2</v>
      </c>
      <c r="BZ2" s="136"/>
      <c r="CA2" s="136"/>
      <c r="CB2" s="136"/>
      <c r="CC2" s="136"/>
      <c r="CD2" s="136"/>
      <c r="CE2" s="137"/>
      <c r="CF2" s="135" t="s">
        <v>1</v>
      </c>
      <c r="CG2" s="136"/>
      <c r="CH2" s="136"/>
      <c r="CI2" s="136"/>
      <c r="CJ2" s="136"/>
      <c r="CK2" s="136"/>
      <c r="CL2" s="137"/>
      <c r="CM2" s="135" t="s">
        <v>2</v>
      </c>
      <c r="CN2" s="136"/>
      <c r="CO2" s="136"/>
      <c r="CP2" s="136"/>
      <c r="CQ2" s="136"/>
      <c r="CR2" s="136"/>
      <c r="CS2" s="137"/>
    </row>
    <row r="3" spans="1:97" s="93" customFormat="1" x14ac:dyDescent="0.25">
      <c r="A3" s="10" t="s">
        <v>78</v>
      </c>
      <c r="B3" s="88" t="s">
        <v>32</v>
      </c>
      <c r="C3" s="1" t="s">
        <v>29</v>
      </c>
      <c r="D3" s="4" t="s">
        <v>79</v>
      </c>
      <c r="E3" s="4" t="s">
        <v>80</v>
      </c>
      <c r="F3" s="4" t="s">
        <v>79</v>
      </c>
      <c r="G3" s="4" t="s">
        <v>30</v>
      </c>
      <c r="H3" s="5" t="s">
        <v>81</v>
      </c>
      <c r="I3" s="1" t="s">
        <v>33</v>
      </c>
      <c r="J3" s="89" t="s">
        <v>33</v>
      </c>
      <c r="K3" s="1" t="s">
        <v>82</v>
      </c>
      <c r="L3" s="4" t="s">
        <v>33</v>
      </c>
      <c r="M3" s="4" t="s">
        <v>33</v>
      </c>
      <c r="N3" s="5" t="s">
        <v>33</v>
      </c>
      <c r="O3" s="1" t="s">
        <v>82</v>
      </c>
      <c r="P3" s="4" t="s">
        <v>33</v>
      </c>
      <c r="Q3" s="90" t="s">
        <v>33</v>
      </c>
      <c r="R3" s="89" t="s">
        <v>33</v>
      </c>
      <c r="S3" s="91"/>
      <c r="T3" s="16"/>
      <c r="U3" s="86" t="s">
        <v>31</v>
      </c>
      <c r="V3" s="86" t="s">
        <v>32</v>
      </c>
      <c r="W3" s="86" t="s">
        <v>33</v>
      </c>
      <c r="X3" s="86" t="s">
        <v>33</v>
      </c>
      <c r="Y3" s="86" t="s">
        <v>33</v>
      </c>
      <c r="Z3" s="86" t="s">
        <v>33</v>
      </c>
      <c r="AA3" s="86" t="s">
        <v>33</v>
      </c>
      <c r="AB3" s="86" t="s">
        <v>34</v>
      </c>
      <c r="AC3" s="86" t="s">
        <v>33</v>
      </c>
      <c r="AD3" s="86" t="s">
        <v>33</v>
      </c>
      <c r="AE3" s="86" t="s">
        <v>31</v>
      </c>
      <c r="AF3" s="86" t="s">
        <v>32</v>
      </c>
      <c r="AG3" s="86" t="s">
        <v>33</v>
      </c>
      <c r="AH3" s="86" t="s">
        <v>33</v>
      </c>
      <c r="AI3" s="86" t="s">
        <v>33</v>
      </c>
      <c r="AJ3" s="86" t="s">
        <v>33</v>
      </c>
      <c r="AK3" s="86" t="s">
        <v>33</v>
      </c>
      <c r="AL3" s="86" t="s">
        <v>34</v>
      </c>
      <c r="AM3" s="86" t="s">
        <v>33</v>
      </c>
      <c r="AN3" s="87" t="s">
        <v>33</v>
      </c>
      <c r="AO3" s="1" t="s">
        <v>83</v>
      </c>
      <c r="AP3" s="4" t="s">
        <v>9</v>
      </c>
      <c r="AQ3" s="4" t="s">
        <v>10</v>
      </c>
      <c r="AR3" s="4" t="s">
        <v>11</v>
      </c>
      <c r="AS3" s="4" t="s">
        <v>12</v>
      </c>
      <c r="AT3" s="4" t="s">
        <v>13</v>
      </c>
      <c r="AU3" s="4" t="s">
        <v>14</v>
      </c>
      <c r="AV3" s="92" t="s">
        <v>15</v>
      </c>
      <c r="AW3" s="1" t="s">
        <v>16</v>
      </c>
      <c r="AX3" s="4" t="s">
        <v>17</v>
      </c>
      <c r="AY3" s="4" t="s">
        <v>18</v>
      </c>
      <c r="AZ3" s="4" t="s">
        <v>19</v>
      </c>
      <c r="BA3" s="4" t="s">
        <v>20</v>
      </c>
      <c r="BB3" s="4" t="s">
        <v>21</v>
      </c>
      <c r="BC3" s="5" t="s">
        <v>22</v>
      </c>
      <c r="BD3" s="1" t="s">
        <v>9</v>
      </c>
      <c r="BE3" s="4" t="s">
        <v>10</v>
      </c>
      <c r="BF3" s="4" t="s">
        <v>11</v>
      </c>
      <c r="BG3" s="4" t="s">
        <v>12</v>
      </c>
      <c r="BH3" s="4" t="s">
        <v>13</v>
      </c>
      <c r="BI3" s="4" t="s">
        <v>14</v>
      </c>
      <c r="BJ3" s="5" t="s">
        <v>15</v>
      </c>
      <c r="BK3" s="1" t="s">
        <v>16</v>
      </c>
      <c r="BL3" s="4" t="s">
        <v>17</v>
      </c>
      <c r="BM3" s="4" t="s">
        <v>18</v>
      </c>
      <c r="BN3" s="4" t="s">
        <v>19</v>
      </c>
      <c r="BO3" s="4" t="s">
        <v>20</v>
      </c>
      <c r="BP3" s="4" t="s">
        <v>21</v>
      </c>
      <c r="BQ3" s="5" t="s">
        <v>22</v>
      </c>
      <c r="BR3" s="1" t="s">
        <v>9</v>
      </c>
      <c r="BS3" s="4" t="s">
        <v>10</v>
      </c>
      <c r="BT3" s="4" t="s">
        <v>11</v>
      </c>
      <c r="BU3" s="4" t="s">
        <v>12</v>
      </c>
      <c r="BV3" s="4" t="s">
        <v>13</v>
      </c>
      <c r="BW3" s="4" t="s">
        <v>14</v>
      </c>
      <c r="BX3" s="5" t="s">
        <v>15</v>
      </c>
      <c r="BY3" s="1" t="s">
        <v>16</v>
      </c>
      <c r="BZ3" s="4" t="s">
        <v>17</v>
      </c>
      <c r="CA3" s="4" t="s">
        <v>18</v>
      </c>
      <c r="CB3" s="4" t="s">
        <v>19</v>
      </c>
      <c r="CC3" s="4" t="s">
        <v>20</v>
      </c>
      <c r="CD3" s="4" t="s">
        <v>21</v>
      </c>
      <c r="CE3" s="5" t="s">
        <v>22</v>
      </c>
      <c r="CF3" s="1" t="s">
        <v>9</v>
      </c>
      <c r="CG3" s="4" t="s">
        <v>10</v>
      </c>
      <c r="CH3" s="4" t="s">
        <v>11</v>
      </c>
      <c r="CI3" s="4" t="s">
        <v>12</v>
      </c>
      <c r="CJ3" s="4" t="s">
        <v>13</v>
      </c>
      <c r="CK3" s="4" t="s">
        <v>14</v>
      </c>
      <c r="CL3" s="5" t="s">
        <v>15</v>
      </c>
      <c r="CM3" s="1" t="s">
        <v>16</v>
      </c>
      <c r="CN3" s="4" t="s">
        <v>17</v>
      </c>
      <c r="CO3" s="4" t="s">
        <v>18</v>
      </c>
      <c r="CP3" s="4" t="s">
        <v>19</v>
      </c>
      <c r="CQ3" s="4" t="s">
        <v>20</v>
      </c>
      <c r="CR3" s="4" t="s">
        <v>21</v>
      </c>
      <c r="CS3" s="5" t="s">
        <v>22</v>
      </c>
    </row>
    <row r="4" spans="1:97" s="99" customFormat="1" ht="15" customHeight="1" x14ac:dyDescent="0.25">
      <c r="A4" s="10" t="s">
        <v>35</v>
      </c>
      <c r="B4" s="94"/>
      <c r="C4" s="20"/>
      <c r="D4" s="95"/>
      <c r="E4" s="21"/>
      <c r="F4" s="21"/>
      <c r="G4" s="21"/>
      <c r="H4" s="26"/>
      <c r="I4" s="20"/>
      <c r="J4" s="96"/>
      <c r="K4" s="20"/>
      <c r="L4" s="21"/>
      <c r="M4" s="21"/>
      <c r="N4" s="26"/>
      <c r="O4" s="20"/>
      <c r="P4" s="21"/>
      <c r="Q4" s="95"/>
      <c r="R4" s="96"/>
      <c r="S4" s="97"/>
      <c r="T4" s="29"/>
      <c r="U4" s="21"/>
      <c r="V4" s="21"/>
      <c r="W4" s="31"/>
      <c r="X4" s="21"/>
      <c r="Y4" s="21"/>
      <c r="Z4" s="21"/>
      <c r="AA4" s="21"/>
      <c r="AB4" s="24"/>
      <c r="AC4" s="24"/>
      <c r="AD4" s="21"/>
      <c r="AE4" s="21"/>
      <c r="AF4" s="21"/>
      <c r="AG4" s="31"/>
      <c r="AH4" s="21"/>
      <c r="AI4" s="21"/>
      <c r="AJ4" s="21"/>
      <c r="AK4" s="21"/>
      <c r="AL4" s="24"/>
      <c r="AM4" s="24"/>
      <c r="AN4" s="98"/>
      <c r="AO4" s="20"/>
      <c r="AP4" s="21"/>
      <c r="AQ4" s="21"/>
      <c r="AR4" s="21"/>
      <c r="AS4" s="21"/>
      <c r="AT4" s="21"/>
      <c r="AU4" s="21"/>
      <c r="AV4" s="98"/>
      <c r="AW4" s="20"/>
      <c r="AX4" s="21"/>
      <c r="AY4" s="21"/>
      <c r="AZ4" s="21"/>
      <c r="BA4" s="21"/>
      <c r="BB4" s="21"/>
      <c r="BC4" s="26"/>
      <c r="BD4" s="20"/>
      <c r="BE4" s="21"/>
      <c r="BF4" s="21"/>
      <c r="BG4" s="21"/>
      <c r="BH4" s="21"/>
      <c r="BI4" s="21"/>
      <c r="BJ4" s="26"/>
      <c r="BK4" s="20"/>
      <c r="BL4" s="21"/>
      <c r="BM4" s="21"/>
      <c r="BN4" s="21"/>
      <c r="BO4" s="21"/>
      <c r="BP4" s="21"/>
      <c r="BQ4" s="26"/>
      <c r="BR4" s="20"/>
      <c r="BS4" s="21"/>
      <c r="BT4" s="21"/>
      <c r="BU4" s="21"/>
      <c r="BV4" s="21"/>
      <c r="BW4" s="21"/>
      <c r="BX4" s="26"/>
      <c r="BY4" s="20"/>
      <c r="BZ4" s="21"/>
      <c r="CA4" s="21"/>
      <c r="CB4" s="21"/>
      <c r="CC4" s="21"/>
      <c r="CD4" s="21"/>
      <c r="CE4" s="26"/>
      <c r="CF4" s="20"/>
      <c r="CG4" s="21"/>
      <c r="CH4" s="21"/>
      <c r="CI4" s="21"/>
      <c r="CJ4" s="21"/>
      <c r="CK4" s="21"/>
      <c r="CL4" s="26"/>
      <c r="CM4" s="20"/>
      <c r="CN4" s="21"/>
      <c r="CO4" s="21"/>
      <c r="CP4" s="21"/>
      <c r="CQ4" s="21"/>
      <c r="CR4" s="21"/>
      <c r="CS4" s="26"/>
    </row>
    <row r="5" spans="1:97" s="115" customFormat="1" ht="15" customHeight="1" x14ac:dyDescent="0.25">
      <c r="A5" s="100" t="s">
        <v>46</v>
      </c>
      <c r="B5" s="101" t="s">
        <v>42</v>
      </c>
      <c r="C5" s="102">
        <v>132</v>
      </c>
      <c r="D5" s="102">
        <v>20</v>
      </c>
      <c r="E5" s="103" t="s">
        <v>84</v>
      </c>
      <c r="F5" s="52">
        <v>75</v>
      </c>
      <c r="G5" s="103">
        <v>1</v>
      </c>
      <c r="H5" s="40" t="s">
        <v>85</v>
      </c>
      <c r="I5" s="104">
        <v>1027</v>
      </c>
      <c r="J5" s="105">
        <v>1027</v>
      </c>
      <c r="K5" s="53">
        <v>70</v>
      </c>
      <c r="L5" s="52">
        <v>1388</v>
      </c>
      <c r="M5" s="39">
        <v>1110</v>
      </c>
      <c r="N5" s="40">
        <v>1110</v>
      </c>
      <c r="O5" s="102">
        <v>70</v>
      </c>
      <c r="P5" s="39">
        <v>1749</v>
      </c>
      <c r="Q5" s="38">
        <v>1110</v>
      </c>
      <c r="R5" s="106">
        <v>1110</v>
      </c>
      <c r="S5" s="107" t="s">
        <v>41</v>
      </c>
      <c r="T5" s="108" t="s">
        <v>86</v>
      </c>
      <c r="U5" s="109" t="s">
        <v>36</v>
      </c>
      <c r="V5" s="109" t="s">
        <v>37</v>
      </c>
      <c r="W5" s="109">
        <v>1250</v>
      </c>
      <c r="X5" s="109">
        <v>3150</v>
      </c>
      <c r="Y5" s="109">
        <v>1600</v>
      </c>
      <c r="Z5" s="109">
        <v>2500</v>
      </c>
      <c r="AA5" s="109" t="s">
        <v>38</v>
      </c>
      <c r="AB5" s="109" t="s">
        <v>39</v>
      </c>
      <c r="AC5" s="109">
        <v>2500</v>
      </c>
      <c r="AD5" s="109" t="s">
        <v>38</v>
      </c>
      <c r="AE5" s="109" t="s">
        <v>36</v>
      </c>
      <c r="AF5" s="109" t="s">
        <v>37</v>
      </c>
      <c r="AG5" s="109">
        <v>1250</v>
      </c>
      <c r="AH5" s="109">
        <v>3150</v>
      </c>
      <c r="AI5" s="109">
        <v>1600</v>
      </c>
      <c r="AJ5" s="109">
        <v>1600</v>
      </c>
      <c r="AK5" s="109" t="s">
        <v>38</v>
      </c>
      <c r="AL5" s="109" t="s">
        <v>40</v>
      </c>
      <c r="AM5" s="109">
        <v>1593</v>
      </c>
      <c r="AN5" s="109" t="s">
        <v>38</v>
      </c>
      <c r="AO5" s="110">
        <v>1027</v>
      </c>
      <c r="AP5" s="111">
        <v>1500</v>
      </c>
      <c r="AQ5" s="111">
        <v>3150</v>
      </c>
      <c r="AR5" s="111">
        <v>1600</v>
      </c>
      <c r="AS5" s="111">
        <v>2500</v>
      </c>
      <c r="AT5" s="111">
        <v>9999</v>
      </c>
      <c r="AU5" s="111">
        <v>2500</v>
      </c>
      <c r="AV5" s="112">
        <v>9999</v>
      </c>
      <c r="AW5" s="110">
        <v>1500</v>
      </c>
      <c r="AX5" s="111">
        <v>3150</v>
      </c>
      <c r="AY5" s="111">
        <v>1600</v>
      </c>
      <c r="AZ5" s="111">
        <v>1600</v>
      </c>
      <c r="BA5" s="111">
        <v>9999</v>
      </c>
      <c r="BB5" s="111">
        <v>1593</v>
      </c>
      <c r="BC5" s="113">
        <v>9999</v>
      </c>
      <c r="BD5" s="114">
        <v>1500</v>
      </c>
      <c r="BE5" s="111">
        <v>3150</v>
      </c>
      <c r="BF5" s="111">
        <v>1600</v>
      </c>
      <c r="BG5" s="111">
        <v>2500</v>
      </c>
      <c r="BH5" s="111">
        <v>9999</v>
      </c>
      <c r="BI5" s="111">
        <v>2500</v>
      </c>
      <c r="BJ5" s="113">
        <v>9999</v>
      </c>
      <c r="BK5" s="114">
        <v>1500</v>
      </c>
      <c r="BL5" s="111">
        <v>3150</v>
      </c>
      <c r="BM5" s="111">
        <v>1600</v>
      </c>
      <c r="BN5" s="111">
        <v>1600</v>
      </c>
      <c r="BO5" s="111">
        <v>9999</v>
      </c>
      <c r="BP5" s="111">
        <v>1593</v>
      </c>
      <c r="BQ5" s="113">
        <v>9999</v>
      </c>
      <c r="BR5" s="114">
        <v>1500</v>
      </c>
      <c r="BS5" s="111">
        <v>3150</v>
      </c>
      <c r="BT5" s="111">
        <v>1600</v>
      </c>
      <c r="BU5" s="111">
        <v>2500</v>
      </c>
      <c r="BV5" s="111">
        <v>9999</v>
      </c>
      <c r="BW5" s="111">
        <v>2500</v>
      </c>
      <c r="BX5" s="113">
        <v>9999</v>
      </c>
      <c r="BY5" s="114">
        <v>1500</v>
      </c>
      <c r="BZ5" s="111">
        <v>3150</v>
      </c>
      <c r="CA5" s="111">
        <v>1600</v>
      </c>
      <c r="CB5" s="111">
        <v>1600</v>
      </c>
      <c r="CC5" s="111">
        <v>9999</v>
      </c>
      <c r="CD5" s="111">
        <v>1593</v>
      </c>
      <c r="CE5" s="113">
        <v>9999</v>
      </c>
      <c r="CF5" s="114">
        <v>1500</v>
      </c>
      <c r="CG5" s="111">
        <v>3150</v>
      </c>
      <c r="CH5" s="111">
        <v>1600</v>
      </c>
      <c r="CI5" s="111">
        <v>2500</v>
      </c>
      <c r="CJ5" s="111">
        <v>9999</v>
      </c>
      <c r="CK5" s="111">
        <v>2500</v>
      </c>
      <c r="CL5" s="113">
        <v>9999</v>
      </c>
      <c r="CM5" s="114">
        <v>1500</v>
      </c>
      <c r="CN5" s="111">
        <v>3150</v>
      </c>
      <c r="CO5" s="111">
        <v>1600</v>
      </c>
      <c r="CP5" s="111">
        <v>1600</v>
      </c>
      <c r="CQ5" s="111">
        <v>9999</v>
      </c>
      <c r="CR5" s="111">
        <v>1593</v>
      </c>
      <c r="CS5" s="113">
        <v>9999</v>
      </c>
    </row>
    <row r="6" spans="1:97" s="115" customFormat="1" ht="15" customHeight="1" x14ac:dyDescent="0.25">
      <c r="A6" s="100" t="s">
        <v>47</v>
      </c>
      <c r="B6" s="101" t="s">
        <v>42</v>
      </c>
      <c r="C6" s="102">
        <v>132</v>
      </c>
      <c r="D6" s="102">
        <v>15</v>
      </c>
      <c r="E6" s="103" t="s">
        <v>84</v>
      </c>
      <c r="F6" s="52">
        <v>75</v>
      </c>
      <c r="G6" s="103">
        <v>1</v>
      </c>
      <c r="H6" s="40" t="s">
        <v>85</v>
      </c>
      <c r="I6" s="104">
        <v>1027</v>
      </c>
      <c r="J6" s="105">
        <v>1027</v>
      </c>
      <c r="K6" s="53">
        <v>70</v>
      </c>
      <c r="L6" s="52">
        <v>1455</v>
      </c>
      <c r="M6" s="39">
        <v>1164</v>
      </c>
      <c r="N6" s="39">
        <v>1164</v>
      </c>
      <c r="O6" s="102">
        <v>70</v>
      </c>
      <c r="P6" s="39">
        <v>1831</v>
      </c>
      <c r="Q6" s="38">
        <v>1164</v>
      </c>
      <c r="R6" s="106">
        <v>1164</v>
      </c>
      <c r="S6" s="107" t="s">
        <v>41</v>
      </c>
      <c r="T6" s="108" t="s">
        <v>86</v>
      </c>
      <c r="U6" s="109" t="s">
        <v>36</v>
      </c>
      <c r="V6" s="109" t="s">
        <v>37</v>
      </c>
      <c r="W6" s="109">
        <v>1250</v>
      </c>
      <c r="X6" s="109">
        <v>3150</v>
      </c>
      <c r="Y6" s="109">
        <v>1600</v>
      </c>
      <c r="Z6" s="109">
        <v>2500</v>
      </c>
      <c r="AA6" s="109" t="s">
        <v>38</v>
      </c>
      <c r="AB6" s="109" t="s">
        <v>39</v>
      </c>
      <c r="AC6" s="109">
        <v>2500</v>
      </c>
      <c r="AD6" s="109" t="s">
        <v>38</v>
      </c>
      <c r="AE6" s="109" t="s">
        <v>36</v>
      </c>
      <c r="AF6" s="109" t="s">
        <v>37</v>
      </c>
      <c r="AG6" s="109">
        <v>1250</v>
      </c>
      <c r="AH6" s="109">
        <v>3150</v>
      </c>
      <c r="AI6" s="109">
        <v>1600</v>
      </c>
      <c r="AJ6" s="109">
        <v>1600</v>
      </c>
      <c r="AK6" s="109" t="s">
        <v>38</v>
      </c>
      <c r="AL6" s="109" t="s">
        <v>40</v>
      </c>
      <c r="AM6" s="109">
        <v>1593</v>
      </c>
      <c r="AN6" s="109" t="s">
        <v>38</v>
      </c>
      <c r="AO6" s="110">
        <v>1027</v>
      </c>
      <c r="AP6" s="111">
        <v>1500</v>
      </c>
      <c r="AQ6" s="111">
        <v>3150</v>
      </c>
      <c r="AR6" s="111">
        <v>1600</v>
      </c>
      <c r="AS6" s="111">
        <v>2500</v>
      </c>
      <c r="AT6" s="111">
        <v>9999</v>
      </c>
      <c r="AU6" s="111">
        <v>2500</v>
      </c>
      <c r="AV6" s="112">
        <v>9999</v>
      </c>
      <c r="AW6" s="110">
        <v>1500</v>
      </c>
      <c r="AX6" s="111">
        <v>3150</v>
      </c>
      <c r="AY6" s="111">
        <v>1600</v>
      </c>
      <c r="AZ6" s="111">
        <v>1600</v>
      </c>
      <c r="BA6" s="111">
        <v>9999</v>
      </c>
      <c r="BB6" s="111">
        <v>1593</v>
      </c>
      <c r="BC6" s="113">
        <v>9999</v>
      </c>
      <c r="BD6" s="114">
        <v>1500</v>
      </c>
      <c r="BE6" s="111">
        <v>3150</v>
      </c>
      <c r="BF6" s="111">
        <v>1600</v>
      </c>
      <c r="BG6" s="111">
        <v>2500</v>
      </c>
      <c r="BH6" s="111">
        <v>9999</v>
      </c>
      <c r="BI6" s="111">
        <v>2500</v>
      </c>
      <c r="BJ6" s="113">
        <v>9999</v>
      </c>
      <c r="BK6" s="114">
        <v>1500</v>
      </c>
      <c r="BL6" s="111">
        <v>3150</v>
      </c>
      <c r="BM6" s="111">
        <v>1600</v>
      </c>
      <c r="BN6" s="111">
        <v>1600</v>
      </c>
      <c r="BO6" s="111">
        <v>9999</v>
      </c>
      <c r="BP6" s="111">
        <v>1593</v>
      </c>
      <c r="BQ6" s="113">
        <v>9999</v>
      </c>
      <c r="BR6" s="114">
        <v>1500</v>
      </c>
      <c r="BS6" s="111">
        <v>3150</v>
      </c>
      <c r="BT6" s="111">
        <v>1600</v>
      </c>
      <c r="BU6" s="111">
        <v>2500</v>
      </c>
      <c r="BV6" s="111">
        <v>9999</v>
      </c>
      <c r="BW6" s="111">
        <v>2500</v>
      </c>
      <c r="BX6" s="113">
        <v>9999</v>
      </c>
      <c r="BY6" s="114">
        <v>1500</v>
      </c>
      <c r="BZ6" s="111">
        <v>3150</v>
      </c>
      <c r="CA6" s="111">
        <v>1600</v>
      </c>
      <c r="CB6" s="111">
        <v>1600</v>
      </c>
      <c r="CC6" s="111">
        <v>9999</v>
      </c>
      <c r="CD6" s="111">
        <v>1593</v>
      </c>
      <c r="CE6" s="113">
        <v>9999</v>
      </c>
      <c r="CF6" s="114">
        <v>1500</v>
      </c>
      <c r="CG6" s="111">
        <v>3150</v>
      </c>
      <c r="CH6" s="111">
        <v>1600</v>
      </c>
      <c r="CI6" s="111">
        <v>2500</v>
      </c>
      <c r="CJ6" s="111">
        <v>9999</v>
      </c>
      <c r="CK6" s="111">
        <v>2500</v>
      </c>
      <c r="CL6" s="113">
        <v>9999</v>
      </c>
      <c r="CM6" s="114">
        <v>1500</v>
      </c>
      <c r="CN6" s="111">
        <v>3150</v>
      </c>
      <c r="CO6" s="111">
        <v>1600</v>
      </c>
      <c r="CP6" s="111">
        <v>1600</v>
      </c>
      <c r="CQ6" s="111">
        <v>9999</v>
      </c>
      <c r="CR6" s="111">
        <v>1593</v>
      </c>
      <c r="CS6" s="113">
        <v>9999</v>
      </c>
    </row>
    <row r="7" spans="1:97" s="115" customFormat="1" ht="15" customHeight="1" x14ac:dyDescent="0.25">
      <c r="A7" s="100" t="s">
        <v>48</v>
      </c>
      <c r="B7" s="101" t="s">
        <v>42</v>
      </c>
      <c r="C7" s="102">
        <v>132</v>
      </c>
      <c r="D7" s="102">
        <v>10</v>
      </c>
      <c r="E7" s="103" t="s">
        <v>84</v>
      </c>
      <c r="F7" s="52">
        <v>75</v>
      </c>
      <c r="G7" s="103">
        <v>1</v>
      </c>
      <c r="H7" s="40" t="s">
        <v>85</v>
      </c>
      <c r="I7" s="104">
        <v>1027</v>
      </c>
      <c r="J7" s="105">
        <v>1027</v>
      </c>
      <c r="K7" s="53">
        <v>70</v>
      </c>
      <c r="L7" s="52">
        <v>1519</v>
      </c>
      <c r="M7" s="39">
        <v>1215</v>
      </c>
      <c r="N7" s="39">
        <v>1215</v>
      </c>
      <c r="O7" s="102">
        <v>70</v>
      </c>
      <c r="P7" s="39">
        <v>1910</v>
      </c>
      <c r="Q7" s="38">
        <v>1215</v>
      </c>
      <c r="R7" s="106">
        <v>1215</v>
      </c>
      <c r="S7" s="107" t="s">
        <v>41</v>
      </c>
      <c r="T7" s="108" t="s">
        <v>86</v>
      </c>
      <c r="U7" s="109" t="s">
        <v>36</v>
      </c>
      <c r="V7" s="109" t="s">
        <v>37</v>
      </c>
      <c r="W7" s="109">
        <v>1250</v>
      </c>
      <c r="X7" s="109">
        <v>3150</v>
      </c>
      <c r="Y7" s="109">
        <v>1600</v>
      </c>
      <c r="Z7" s="109">
        <v>2500</v>
      </c>
      <c r="AA7" s="109" t="s">
        <v>38</v>
      </c>
      <c r="AB7" s="109" t="s">
        <v>39</v>
      </c>
      <c r="AC7" s="109">
        <v>2500</v>
      </c>
      <c r="AD7" s="109" t="s">
        <v>38</v>
      </c>
      <c r="AE7" s="109" t="s">
        <v>36</v>
      </c>
      <c r="AF7" s="109" t="s">
        <v>37</v>
      </c>
      <c r="AG7" s="109">
        <v>1250</v>
      </c>
      <c r="AH7" s="109">
        <v>3150</v>
      </c>
      <c r="AI7" s="109">
        <v>1600</v>
      </c>
      <c r="AJ7" s="109">
        <v>1600</v>
      </c>
      <c r="AK7" s="109" t="s">
        <v>38</v>
      </c>
      <c r="AL7" s="109" t="s">
        <v>40</v>
      </c>
      <c r="AM7" s="109">
        <v>1593</v>
      </c>
      <c r="AN7" s="109" t="s">
        <v>38</v>
      </c>
      <c r="AO7" s="110">
        <v>1027</v>
      </c>
      <c r="AP7" s="111">
        <v>1500</v>
      </c>
      <c r="AQ7" s="111">
        <v>3150</v>
      </c>
      <c r="AR7" s="111">
        <v>1600</v>
      </c>
      <c r="AS7" s="111">
        <v>2500</v>
      </c>
      <c r="AT7" s="111">
        <v>9999</v>
      </c>
      <c r="AU7" s="111">
        <v>2500</v>
      </c>
      <c r="AV7" s="112">
        <v>9999</v>
      </c>
      <c r="AW7" s="110">
        <v>1500</v>
      </c>
      <c r="AX7" s="111">
        <v>3150</v>
      </c>
      <c r="AY7" s="111">
        <v>1600</v>
      </c>
      <c r="AZ7" s="111">
        <v>1600</v>
      </c>
      <c r="BA7" s="111">
        <v>9999</v>
      </c>
      <c r="BB7" s="111">
        <v>1593</v>
      </c>
      <c r="BC7" s="113">
        <v>9999</v>
      </c>
      <c r="BD7" s="114">
        <v>1500</v>
      </c>
      <c r="BE7" s="111">
        <v>3150</v>
      </c>
      <c r="BF7" s="111">
        <v>1600</v>
      </c>
      <c r="BG7" s="111">
        <v>2500</v>
      </c>
      <c r="BH7" s="111">
        <v>9999</v>
      </c>
      <c r="BI7" s="111">
        <v>2500</v>
      </c>
      <c r="BJ7" s="113">
        <v>9999</v>
      </c>
      <c r="BK7" s="114">
        <v>1500</v>
      </c>
      <c r="BL7" s="111">
        <v>3150</v>
      </c>
      <c r="BM7" s="111">
        <v>1600</v>
      </c>
      <c r="BN7" s="111">
        <v>1600</v>
      </c>
      <c r="BO7" s="111">
        <v>9999</v>
      </c>
      <c r="BP7" s="111">
        <v>1593</v>
      </c>
      <c r="BQ7" s="113">
        <v>9999</v>
      </c>
      <c r="BR7" s="114">
        <v>1500</v>
      </c>
      <c r="BS7" s="111">
        <v>3150</v>
      </c>
      <c r="BT7" s="111">
        <v>1600</v>
      </c>
      <c r="BU7" s="111">
        <v>2500</v>
      </c>
      <c r="BV7" s="111">
        <v>9999</v>
      </c>
      <c r="BW7" s="111">
        <v>2500</v>
      </c>
      <c r="BX7" s="113">
        <v>9999</v>
      </c>
      <c r="BY7" s="114">
        <v>1500</v>
      </c>
      <c r="BZ7" s="111">
        <v>3150</v>
      </c>
      <c r="CA7" s="111">
        <v>1600</v>
      </c>
      <c r="CB7" s="111">
        <v>1600</v>
      </c>
      <c r="CC7" s="111">
        <v>9999</v>
      </c>
      <c r="CD7" s="111">
        <v>1593</v>
      </c>
      <c r="CE7" s="113">
        <v>9999</v>
      </c>
      <c r="CF7" s="114">
        <v>1500</v>
      </c>
      <c r="CG7" s="111">
        <v>3150</v>
      </c>
      <c r="CH7" s="111">
        <v>1600</v>
      </c>
      <c r="CI7" s="111">
        <v>2500</v>
      </c>
      <c r="CJ7" s="111">
        <v>9999</v>
      </c>
      <c r="CK7" s="111">
        <v>2500</v>
      </c>
      <c r="CL7" s="113">
        <v>9999</v>
      </c>
      <c r="CM7" s="114">
        <v>1500</v>
      </c>
      <c r="CN7" s="111">
        <v>3150</v>
      </c>
      <c r="CO7" s="111">
        <v>1600</v>
      </c>
      <c r="CP7" s="111">
        <v>1600</v>
      </c>
      <c r="CQ7" s="111">
        <v>9999</v>
      </c>
      <c r="CR7" s="111">
        <v>1593</v>
      </c>
      <c r="CS7" s="113">
        <v>9999</v>
      </c>
    </row>
    <row r="8" spans="1:97" s="115" customFormat="1" ht="15" customHeight="1" x14ac:dyDescent="0.25">
      <c r="A8" s="116" t="s">
        <v>49</v>
      </c>
      <c r="B8" s="117" t="s">
        <v>37</v>
      </c>
      <c r="C8" s="53">
        <v>132</v>
      </c>
      <c r="D8" s="53">
        <v>20</v>
      </c>
      <c r="E8" s="52" t="s">
        <v>87</v>
      </c>
      <c r="F8" s="52">
        <v>75</v>
      </c>
      <c r="G8" s="52">
        <v>1</v>
      </c>
      <c r="H8" s="55" t="s">
        <v>88</v>
      </c>
      <c r="I8" s="118">
        <v>1230</v>
      </c>
      <c r="J8" s="119">
        <v>1477</v>
      </c>
      <c r="K8" s="34">
        <v>70</v>
      </c>
      <c r="L8" s="120">
        <v>1537.5</v>
      </c>
      <c r="M8" s="120" t="s">
        <v>38</v>
      </c>
      <c r="N8" s="121" t="s">
        <v>38</v>
      </c>
      <c r="O8" s="102">
        <v>70</v>
      </c>
      <c r="P8" s="120">
        <v>1846.25</v>
      </c>
      <c r="Q8" s="122" t="s">
        <v>38</v>
      </c>
      <c r="R8" s="123" t="s">
        <v>38</v>
      </c>
      <c r="S8" s="124"/>
      <c r="T8" s="57"/>
      <c r="U8" s="109" t="s">
        <v>36</v>
      </c>
      <c r="V8" s="109" t="s">
        <v>37</v>
      </c>
      <c r="W8" s="109">
        <v>1250</v>
      </c>
      <c r="X8" s="109">
        <v>3150</v>
      </c>
      <c r="Y8" s="109">
        <v>1600</v>
      </c>
      <c r="Z8" s="109">
        <v>2500</v>
      </c>
      <c r="AA8" s="109" t="s">
        <v>38</v>
      </c>
      <c r="AB8" s="109" t="s">
        <v>39</v>
      </c>
      <c r="AC8" s="109">
        <v>2125</v>
      </c>
      <c r="AD8" s="109" t="s">
        <v>38</v>
      </c>
      <c r="AE8" s="109" t="s">
        <v>36</v>
      </c>
      <c r="AF8" s="109" t="s">
        <v>42</v>
      </c>
      <c r="AG8" s="109">
        <v>1500</v>
      </c>
      <c r="AH8" s="109">
        <v>2500</v>
      </c>
      <c r="AI8" s="109" t="s">
        <v>38</v>
      </c>
      <c r="AJ8" s="109">
        <v>2500</v>
      </c>
      <c r="AK8" s="109" t="s">
        <v>38</v>
      </c>
      <c r="AL8" s="109" t="s">
        <v>39</v>
      </c>
      <c r="AM8" s="109">
        <v>2617</v>
      </c>
      <c r="AN8" s="109" t="s">
        <v>38</v>
      </c>
      <c r="AO8" s="110">
        <v>1230</v>
      </c>
      <c r="AP8" s="111">
        <v>1500</v>
      </c>
      <c r="AQ8" s="111">
        <v>3150</v>
      </c>
      <c r="AR8" s="111">
        <v>1600</v>
      </c>
      <c r="AS8" s="111">
        <v>2500</v>
      </c>
      <c r="AT8" s="111">
        <v>9999</v>
      </c>
      <c r="AU8" s="111">
        <v>2125</v>
      </c>
      <c r="AV8" s="112">
        <v>9999</v>
      </c>
      <c r="AW8" s="110">
        <v>1800</v>
      </c>
      <c r="AX8" s="111">
        <v>2500</v>
      </c>
      <c r="AY8" s="111">
        <v>9999</v>
      </c>
      <c r="AZ8" s="111">
        <v>2500</v>
      </c>
      <c r="BA8" s="111">
        <v>9999</v>
      </c>
      <c r="BB8" s="111">
        <v>2617</v>
      </c>
      <c r="BC8" s="113">
        <v>9999</v>
      </c>
      <c r="BD8" s="114">
        <v>1500</v>
      </c>
      <c r="BE8" s="111">
        <v>3150</v>
      </c>
      <c r="BF8" s="111">
        <v>1600</v>
      </c>
      <c r="BG8" s="111">
        <v>2500</v>
      </c>
      <c r="BH8" s="111">
        <v>9999</v>
      </c>
      <c r="BI8" s="111">
        <v>2125</v>
      </c>
      <c r="BJ8" s="113">
        <v>9999</v>
      </c>
      <c r="BK8" s="114">
        <v>3000</v>
      </c>
      <c r="BL8" s="111">
        <v>2500</v>
      </c>
      <c r="BM8" s="111">
        <v>9999</v>
      </c>
      <c r="BN8" s="111">
        <v>2500</v>
      </c>
      <c r="BO8" s="111">
        <v>9999</v>
      </c>
      <c r="BP8" s="111">
        <v>2617</v>
      </c>
      <c r="BQ8" s="113">
        <v>9999</v>
      </c>
      <c r="BR8" s="114">
        <v>1500</v>
      </c>
      <c r="BS8" s="111">
        <v>3150</v>
      </c>
      <c r="BT8" s="111">
        <v>1600</v>
      </c>
      <c r="BU8" s="111">
        <v>2500</v>
      </c>
      <c r="BV8" s="111">
        <v>9999</v>
      </c>
      <c r="BW8" s="111">
        <v>2125</v>
      </c>
      <c r="BX8" s="113">
        <v>9999</v>
      </c>
      <c r="BY8" s="114">
        <v>3000</v>
      </c>
      <c r="BZ8" s="111">
        <v>2500</v>
      </c>
      <c r="CA8" s="111">
        <v>9999</v>
      </c>
      <c r="CB8" s="111">
        <v>2500</v>
      </c>
      <c r="CC8" s="111">
        <v>9999</v>
      </c>
      <c r="CD8" s="111">
        <v>2617</v>
      </c>
      <c r="CE8" s="113">
        <v>9999</v>
      </c>
      <c r="CF8" s="114">
        <v>1500</v>
      </c>
      <c r="CG8" s="111">
        <v>3150</v>
      </c>
      <c r="CH8" s="111">
        <v>1600</v>
      </c>
      <c r="CI8" s="111">
        <v>2500</v>
      </c>
      <c r="CJ8" s="111">
        <v>9999</v>
      </c>
      <c r="CK8" s="111">
        <v>2125</v>
      </c>
      <c r="CL8" s="113">
        <v>9999</v>
      </c>
      <c r="CM8" s="114">
        <v>2250</v>
      </c>
      <c r="CN8" s="111">
        <v>2500</v>
      </c>
      <c r="CO8" s="111">
        <v>9999</v>
      </c>
      <c r="CP8" s="111">
        <v>2500</v>
      </c>
      <c r="CQ8" s="111">
        <v>9999</v>
      </c>
      <c r="CR8" s="111">
        <v>2617</v>
      </c>
      <c r="CS8" s="113">
        <v>9999</v>
      </c>
    </row>
    <row r="9" spans="1:97" s="115" customFormat="1" ht="15" customHeight="1" x14ac:dyDescent="0.25">
      <c r="A9" s="116" t="s">
        <v>50</v>
      </c>
      <c r="B9" s="117" t="s">
        <v>37</v>
      </c>
      <c r="C9" s="53">
        <v>132</v>
      </c>
      <c r="D9" s="53">
        <v>15</v>
      </c>
      <c r="E9" s="52" t="s">
        <v>87</v>
      </c>
      <c r="F9" s="52">
        <v>75</v>
      </c>
      <c r="G9" s="52">
        <v>1</v>
      </c>
      <c r="H9" s="55" t="s">
        <v>88</v>
      </c>
      <c r="I9" s="118">
        <v>1304</v>
      </c>
      <c r="J9" s="119">
        <v>1546</v>
      </c>
      <c r="K9" s="34">
        <v>70</v>
      </c>
      <c r="L9" s="120">
        <v>1630</v>
      </c>
      <c r="M9" s="120" t="s">
        <v>38</v>
      </c>
      <c r="N9" s="121" t="s">
        <v>38</v>
      </c>
      <c r="O9" s="102">
        <v>70</v>
      </c>
      <c r="P9" s="120">
        <v>1932.5</v>
      </c>
      <c r="Q9" s="122" t="s">
        <v>38</v>
      </c>
      <c r="R9" s="123" t="s">
        <v>38</v>
      </c>
      <c r="S9" s="124"/>
      <c r="T9" s="57"/>
      <c r="U9" s="109" t="s">
        <v>36</v>
      </c>
      <c r="V9" s="109" t="s">
        <v>37</v>
      </c>
      <c r="W9" s="109">
        <v>1250</v>
      </c>
      <c r="X9" s="109">
        <v>3150</v>
      </c>
      <c r="Y9" s="109">
        <v>1600</v>
      </c>
      <c r="Z9" s="109">
        <v>2500</v>
      </c>
      <c r="AA9" s="109" t="s">
        <v>38</v>
      </c>
      <c r="AB9" s="109" t="s">
        <v>39</v>
      </c>
      <c r="AC9" s="109">
        <v>2125</v>
      </c>
      <c r="AD9" s="109" t="s">
        <v>38</v>
      </c>
      <c r="AE9" s="109" t="s">
        <v>36</v>
      </c>
      <c r="AF9" s="109" t="s">
        <v>42</v>
      </c>
      <c r="AG9" s="109">
        <v>1500</v>
      </c>
      <c r="AH9" s="109">
        <v>2500</v>
      </c>
      <c r="AI9" s="109" t="s">
        <v>38</v>
      </c>
      <c r="AJ9" s="109">
        <v>2500</v>
      </c>
      <c r="AK9" s="109" t="s">
        <v>38</v>
      </c>
      <c r="AL9" s="109" t="s">
        <v>39</v>
      </c>
      <c r="AM9" s="109">
        <v>2617</v>
      </c>
      <c r="AN9" s="109" t="s">
        <v>38</v>
      </c>
      <c r="AO9" s="110">
        <v>1304</v>
      </c>
      <c r="AP9" s="111">
        <v>1500</v>
      </c>
      <c r="AQ9" s="111">
        <v>3150</v>
      </c>
      <c r="AR9" s="111">
        <v>1600</v>
      </c>
      <c r="AS9" s="111">
        <v>2500</v>
      </c>
      <c r="AT9" s="111">
        <v>9999</v>
      </c>
      <c r="AU9" s="111">
        <v>2125</v>
      </c>
      <c r="AV9" s="112">
        <v>9999</v>
      </c>
      <c r="AW9" s="110">
        <v>1800</v>
      </c>
      <c r="AX9" s="111">
        <v>2500</v>
      </c>
      <c r="AY9" s="111">
        <v>9999</v>
      </c>
      <c r="AZ9" s="111">
        <v>2500</v>
      </c>
      <c r="BA9" s="111">
        <v>9999</v>
      </c>
      <c r="BB9" s="111">
        <v>2617</v>
      </c>
      <c r="BC9" s="113">
        <v>9999</v>
      </c>
      <c r="BD9" s="114">
        <v>1500</v>
      </c>
      <c r="BE9" s="111">
        <v>3150</v>
      </c>
      <c r="BF9" s="111">
        <v>1600</v>
      </c>
      <c r="BG9" s="111">
        <v>2500</v>
      </c>
      <c r="BH9" s="111">
        <v>9999</v>
      </c>
      <c r="BI9" s="111">
        <v>2125</v>
      </c>
      <c r="BJ9" s="113">
        <v>9999</v>
      </c>
      <c r="BK9" s="114">
        <v>3000</v>
      </c>
      <c r="BL9" s="111">
        <v>2500</v>
      </c>
      <c r="BM9" s="111">
        <v>9999</v>
      </c>
      <c r="BN9" s="111">
        <v>2500</v>
      </c>
      <c r="BO9" s="111">
        <v>9999</v>
      </c>
      <c r="BP9" s="111">
        <v>2617</v>
      </c>
      <c r="BQ9" s="113">
        <v>9999</v>
      </c>
      <c r="BR9" s="114">
        <v>1500</v>
      </c>
      <c r="BS9" s="111">
        <v>3150</v>
      </c>
      <c r="BT9" s="111">
        <v>1600</v>
      </c>
      <c r="BU9" s="111">
        <v>2500</v>
      </c>
      <c r="BV9" s="111">
        <v>9999</v>
      </c>
      <c r="BW9" s="111">
        <v>2125</v>
      </c>
      <c r="BX9" s="113">
        <v>9999</v>
      </c>
      <c r="BY9" s="114">
        <v>3000</v>
      </c>
      <c r="BZ9" s="111">
        <v>2500</v>
      </c>
      <c r="CA9" s="111">
        <v>9999</v>
      </c>
      <c r="CB9" s="111">
        <v>2500</v>
      </c>
      <c r="CC9" s="111">
        <v>9999</v>
      </c>
      <c r="CD9" s="111">
        <v>2617</v>
      </c>
      <c r="CE9" s="113">
        <v>9999</v>
      </c>
      <c r="CF9" s="114">
        <v>1500</v>
      </c>
      <c r="CG9" s="111">
        <v>3150</v>
      </c>
      <c r="CH9" s="111">
        <v>1600</v>
      </c>
      <c r="CI9" s="111">
        <v>2500</v>
      </c>
      <c r="CJ9" s="111">
        <v>9999</v>
      </c>
      <c r="CK9" s="111">
        <v>2125</v>
      </c>
      <c r="CL9" s="113">
        <v>9999</v>
      </c>
      <c r="CM9" s="114">
        <v>2250</v>
      </c>
      <c r="CN9" s="111">
        <v>2500</v>
      </c>
      <c r="CO9" s="111">
        <v>9999</v>
      </c>
      <c r="CP9" s="111">
        <v>2500</v>
      </c>
      <c r="CQ9" s="111">
        <v>9999</v>
      </c>
      <c r="CR9" s="111">
        <v>2617</v>
      </c>
      <c r="CS9" s="113">
        <v>9999</v>
      </c>
    </row>
    <row r="10" spans="1:97" s="115" customFormat="1" ht="15" customHeight="1" x14ac:dyDescent="0.25">
      <c r="A10" s="116" t="s">
        <v>44</v>
      </c>
      <c r="B10" s="117" t="s">
        <v>37</v>
      </c>
      <c r="C10" s="53">
        <v>132</v>
      </c>
      <c r="D10" s="53">
        <v>10</v>
      </c>
      <c r="E10" s="52" t="s">
        <v>87</v>
      </c>
      <c r="F10" s="52">
        <v>75</v>
      </c>
      <c r="G10" s="52">
        <v>1</v>
      </c>
      <c r="H10" s="55" t="s">
        <v>88</v>
      </c>
      <c r="I10" s="118">
        <v>1359</v>
      </c>
      <c r="J10" s="119">
        <v>1612</v>
      </c>
      <c r="K10" s="34">
        <v>70</v>
      </c>
      <c r="L10" s="120">
        <v>1698.75</v>
      </c>
      <c r="M10" s="120" t="s">
        <v>38</v>
      </c>
      <c r="N10" s="121" t="s">
        <v>38</v>
      </c>
      <c r="O10" s="102">
        <v>70</v>
      </c>
      <c r="P10" s="120">
        <v>2015</v>
      </c>
      <c r="Q10" s="122" t="s">
        <v>38</v>
      </c>
      <c r="R10" s="123" t="s">
        <v>38</v>
      </c>
      <c r="S10" s="124"/>
      <c r="T10" s="57"/>
      <c r="U10" s="109" t="s">
        <v>36</v>
      </c>
      <c r="V10" s="109" t="s">
        <v>37</v>
      </c>
      <c r="W10" s="109">
        <v>1250</v>
      </c>
      <c r="X10" s="109">
        <v>3150</v>
      </c>
      <c r="Y10" s="109">
        <v>1600</v>
      </c>
      <c r="Z10" s="109">
        <v>2500</v>
      </c>
      <c r="AA10" s="109" t="s">
        <v>38</v>
      </c>
      <c r="AB10" s="109" t="s">
        <v>39</v>
      </c>
      <c r="AC10" s="109">
        <v>2125</v>
      </c>
      <c r="AD10" s="109" t="s">
        <v>38</v>
      </c>
      <c r="AE10" s="109" t="s">
        <v>36</v>
      </c>
      <c r="AF10" s="109" t="s">
        <v>42</v>
      </c>
      <c r="AG10" s="109">
        <v>1500</v>
      </c>
      <c r="AH10" s="109">
        <v>2500</v>
      </c>
      <c r="AI10" s="109" t="s">
        <v>38</v>
      </c>
      <c r="AJ10" s="109">
        <v>2500</v>
      </c>
      <c r="AK10" s="109" t="s">
        <v>38</v>
      </c>
      <c r="AL10" s="109" t="s">
        <v>39</v>
      </c>
      <c r="AM10" s="109">
        <v>2617</v>
      </c>
      <c r="AN10" s="109" t="s">
        <v>38</v>
      </c>
      <c r="AO10" s="110">
        <v>1359</v>
      </c>
      <c r="AP10" s="111">
        <v>1500</v>
      </c>
      <c r="AQ10" s="111">
        <v>3150</v>
      </c>
      <c r="AR10" s="111">
        <v>1600</v>
      </c>
      <c r="AS10" s="111">
        <v>2500</v>
      </c>
      <c r="AT10" s="111">
        <v>9999</v>
      </c>
      <c r="AU10" s="111">
        <v>2125</v>
      </c>
      <c r="AV10" s="112">
        <v>9999</v>
      </c>
      <c r="AW10" s="110">
        <v>1800</v>
      </c>
      <c r="AX10" s="111">
        <v>2500</v>
      </c>
      <c r="AY10" s="111">
        <v>9999</v>
      </c>
      <c r="AZ10" s="111">
        <v>2500</v>
      </c>
      <c r="BA10" s="111">
        <v>9999</v>
      </c>
      <c r="BB10" s="111">
        <v>2617</v>
      </c>
      <c r="BC10" s="113">
        <v>9999</v>
      </c>
      <c r="BD10" s="114">
        <v>1500</v>
      </c>
      <c r="BE10" s="111">
        <v>3150</v>
      </c>
      <c r="BF10" s="111">
        <v>1600</v>
      </c>
      <c r="BG10" s="111">
        <v>2500</v>
      </c>
      <c r="BH10" s="111">
        <v>9999</v>
      </c>
      <c r="BI10" s="111">
        <v>2125</v>
      </c>
      <c r="BJ10" s="113">
        <v>9999</v>
      </c>
      <c r="BK10" s="114">
        <v>3000</v>
      </c>
      <c r="BL10" s="111">
        <v>2500</v>
      </c>
      <c r="BM10" s="111">
        <v>9999</v>
      </c>
      <c r="BN10" s="111">
        <v>2500</v>
      </c>
      <c r="BO10" s="111">
        <v>9999</v>
      </c>
      <c r="BP10" s="111">
        <v>2617</v>
      </c>
      <c r="BQ10" s="113">
        <v>9999</v>
      </c>
      <c r="BR10" s="114">
        <v>1500</v>
      </c>
      <c r="BS10" s="111">
        <v>3150</v>
      </c>
      <c r="BT10" s="111">
        <v>1600</v>
      </c>
      <c r="BU10" s="111">
        <v>2500</v>
      </c>
      <c r="BV10" s="111">
        <v>9999</v>
      </c>
      <c r="BW10" s="111">
        <v>2125</v>
      </c>
      <c r="BX10" s="113">
        <v>9999</v>
      </c>
      <c r="BY10" s="114">
        <v>3000</v>
      </c>
      <c r="BZ10" s="111">
        <v>2500</v>
      </c>
      <c r="CA10" s="111">
        <v>9999</v>
      </c>
      <c r="CB10" s="111">
        <v>2500</v>
      </c>
      <c r="CC10" s="111">
        <v>9999</v>
      </c>
      <c r="CD10" s="111">
        <v>2617</v>
      </c>
      <c r="CE10" s="113">
        <v>9999</v>
      </c>
      <c r="CF10" s="114">
        <v>1500</v>
      </c>
      <c r="CG10" s="111">
        <v>3150</v>
      </c>
      <c r="CH10" s="111">
        <v>1600</v>
      </c>
      <c r="CI10" s="111">
        <v>2500</v>
      </c>
      <c r="CJ10" s="111">
        <v>9999</v>
      </c>
      <c r="CK10" s="111">
        <v>2125</v>
      </c>
      <c r="CL10" s="113">
        <v>9999</v>
      </c>
      <c r="CM10" s="114">
        <v>2250</v>
      </c>
      <c r="CN10" s="111">
        <v>2500</v>
      </c>
      <c r="CO10" s="111">
        <v>9999</v>
      </c>
      <c r="CP10" s="111">
        <v>2500</v>
      </c>
      <c r="CQ10" s="111">
        <v>9999</v>
      </c>
      <c r="CR10" s="111">
        <v>2617</v>
      </c>
      <c r="CS10" s="113">
        <v>9999</v>
      </c>
    </row>
    <row r="11" spans="1:97" x14ac:dyDescent="0.25">
      <c r="A11" t="s">
        <v>51</v>
      </c>
    </row>
    <row r="12" spans="1:97" x14ac:dyDescent="0.25">
      <c r="A12" t="s">
        <v>45</v>
      </c>
    </row>
    <row r="13" spans="1:97" x14ac:dyDescent="0.25">
      <c r="A13" t="s">
        <v>52</v>
      </c>
    </row>
    <row r="14" spans="1:97" x14ac:dyDescent="0.25">
      <c r="A14" t="s">
        <v>56</v>
      </c>
    </row>
  </sheetData>
  <autoFilter ref="A3:CS3" xr:uid="{B0C0E297-D158-4A6A-9233-A9CE69B02623}"/>
  <mergeCells count="21">
    <mergeCell ref="S1:T1"/>
    <mergeCell ref="A1:B1"/>
    <mergeCell ref="C1:H1"/>
    <mergeCell ref="I1:J1"/>
    <mergeCell ref="K1:N1"/>
    <mergeCell ref="O1:R1"/>
    <mergeCell ref="CM2:CS2"/>
    <mergeCell ref="U1:AD1"/>
    <mergeCell ref="AE1:AN1"/>
    <mergeCell ref="AO1:BC1"/>
    <mergeCell ref="V2:W2"/>
    <mergeCell ref="AB2:AC2"/>
    <mergeCell ref="AF2:AG2"/>
    <mergeCell ref="AL2:AM2"/>
    <mergeCell ref="AP2:AV2"/>
    <mergeCell ref="AW2:BC2"/>
    <mergeCell ref="BD2:BJ2"/>
    <mergeCell ref="BK2:BQ2"/>
    <mergeCell ref="BR2:BX2"/>
    <mergeCell ref="BY2:CE2"/>
    <mergeCell ref="CF2:CL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Stationsdata</vt:lpstr>
      <vt:lpstr>Linjedata - Sommer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2022-04-07T14:17:14Z</dcterms:modified>
</cp:coreProperties>
</file>