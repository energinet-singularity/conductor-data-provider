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energinet-my.sharepoint.com/personal/awi_energinet_dk/Documents/Skrivebord/"/>
    </mc:Choice>
  </mc:AlternateContent>
  <xr:revisionPtr revIDLastSave="164" documentId="8_{3F5FD456-64FF-4A2C-9C1B-AE0EF37EDB94}" xr6:coauthVersionLast="47" xr6:coauthVersionMax="47" xr10:uidLastSave="{B46B1502-36AA-4A21-AFA4-27515E969459}"/>
  <bookViews>
    <workbookView xWindow="1350" yWindow="3540" windowWidth="21600" windowHeight="11610" xr2:uid="{8AB14B70-EAEB-40B6-B5A9-50243F8442C8}"/>
  </bookViews>
  <sheets>
    <sheet name="Stationsdata" sheetId="2" r:id="rId1"/>
  </sheets>
  <definedNames>
    <definedName name="_xlnm._FilterDatabase" localSheetId="0" hidden="1">Stationsdata!$A$3:$AF$3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5" i="2" l="1"/>
  <c r="V5" i="2"/>
  <c r="U6" i="2"/>
  <c r="V6" i="2"/>
  <c r="U12" i="2"/>
</calcChain>
</file>

<file path=xl/sharedStrings.xml><?xml version="1.0" encoding="utf-8"?>
<sst xmlns="http://schemas.openxmlformats.org/spreadsheetml/2006/main" count="157" uniqueCount="59">
  <si>
    <t>Systemoplysninger</t>
  </si>
  <si>
    <t>Station 1</t>
  </si>
  <si>
    <t>Station 2</t>
  </si>
  <si>
    <t>Ændringer</t>
  </si>
  <si>
    <t>Kabelværdier til DLR</t>
  </si>
  <si>
    <t>Linjenavn</t>
  </si>
  <si>
    <t>Spændingsniveau</t>
  </si>
  <si>
    <t>Antal sys.</t>
  </si>
  <si>
    <t>Stationstype</t>
  </si>
  <si>
    <t>IT1</t>
  </si>
  <si>
    <t>AF1</t>
  </si>
  <si>
    <t>LA1</t>
  </si>
  <si>
    <t>SA1</t>
  </si>
  <si>
    <t>TR1</t>
  </si>
  <si>
    <t>SK1</t>
  </si>
  <si>
    <t>SR1</t>
  </si>
  <si>
    <t>IT2</t>
  </si>
  <si>
    <t>AF2</t>
  </si>
  <si>
    <t>LA2</t>
  </si>
  <si>
    <t>SA2</t>
  </si>
  <si>
    <t>TR2</t>
  </si>
  <si>
    <t>SK2</t>
  </si>
  <si>
    <t>SR2</t>
  </si>
  <si>
    <t>Dato</t>
  </si>
  <si>
    <t>Kommentar</t>
  </si>
  <si>
    <t>Kabeltype</t>
  </si>
  <si>
    <t>continious</t>
  </si>
  <si>
    <t>15 min</t>
  </si>
  <si>
    <t>1 time</t>
  </si>
  <si>
    <t>40 timer</t>
  </si>
  <si>
    <t>kV</t>
  </si>
  <si>
    <t>Stk.</t>
  </si>
  <si>
    <t>U/I</t>
  </si>
  <si>
    <t>Gl./Ny</t>
  </si>
  <si>
    <t>A</t>
  </si>
  <si>
    <t>Type</t>
  </si>
  <si>
    <t>132 kV</t>
  </si>
  <si>
    <t>U</t>
  </si>
  <si>
    <t>Gl.</t>
  </si>
  <si>
    <t>NA</t>
  </si>
  <si>
    <t>Relæ</t>
  </si>
  <si>
    <t>Længdediff</t>
  </si>
  <si>
    <t xml:space="preserve"> </t>
  </si>
  <si>
    <t>Ny</t>
  </si>
  <si>
    <t>I</t>
  </si>
  <si>
    <t>AAA-BBB</t>
  </si>
  <si>
    <t>CCC-DDD</t>
  </si>
  <si>
    <t>EEE-FFF-1</t>
  </si>
  <si>
    <t>EEE-FFF-2</t>
  </si>
  <si>
    <t>GGG-HHH</t>
  </si>
  <si>
    <t>GGG-HHH (N)</t>
  </si>
  <si>
    <t>150 kV</t>
  </si>
  <si>
    <t>220 kV</t>
  </si>
  <si>
    <t>400 kV</t>
  </si>
  <si>
    <t>Luftledertype</t>
  </si>
  <si>
    <t>Air</t>
  </si>
  <si>
    <t>Land</t>
  </si>
  <si>
    <t>Sea</t>
  </si>
  <si>
    <t>III-ÆØÅ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</si>
</sst>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0">
    <xf numFmtId="0" fontId="0" fillId="0" borderId="0" xfId="0"/>
    <xf numFmtId="0" fontId="0" fillId="0" borderId="4" xfId="0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5" xfId="0" applyBorder="1" applyAlignment="1">
      <alignment horizontal="left"/>
    </xf>
    <xf numFmtId="0" fontId="0" fillId="0" borderId="6" xfId="0" applyBorder="1" applyAlignment="1">
      <alignment horizontal="left"/>
    </xf>
    <xf numFmtId="14" fontId="0" fillId="0" borderId="9" xfId="0" applyNumberFormat="1" applyBorder="1" applyAlignment="1">
      <alignment horizontal="center"/>
    </xf>
    <xf numFmtId="1" fontId="0" fillId="0" borderId="10" xfId="0" applyNumberFormat="1" applyBorder="1" applyAlignment="1">
      <alignment horizontal="center" wrapText="1"/>
    </xf>
    <xf numFmtId="0" fontId="0" fillId="0" borderId="4" xfId="0" applyBorder="1"/>
    <xf numFmtId="0" fontId="0" fillId="0" borderId="6" xfId="0" applyBorder="1" applyAlignment="1">
      <alignment horizontal="center"/>
    </xf>
    <xf numFmtId="0" fontId="0" fillId="0" borderId="9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7" xfId="0" applyBorder="1"/>
    <xf numFmtId="0" fontId="3" fillId="0" borderId="5" xfId="0" applyFont="1" applyBorder="1"/>
    <xf numFmtId="0" fontId="3" fillId="0" borderId="8" xfId="0" applyFont="1" applyBorder="1"/>
    <xf numFmtId="14" fontId="0" fillId="0" borderId="4" xfId="0" applyNumberFormat="1" applyBorder="1" applyAlignment="1">
      <alignment horizontal="left"/>
    </xf>
    <xf numFmtId="0" fontId="0" fillId="0" borderId="6" xfId="0" applyBorder="1" applyAlignment="1">
      <alignment horizontal="left" wrapText="1"/>
    </xf>
    <xf numFmtId="0" fontId="0" fillId="0" borderId="5" xfId="0" applyBorder="1"/>
    <xf numFmtId="0" fontId="0" fillId="0" borderId="6" xfId="0" applyBorder="1"/>
    <xf numFmtId="0" fontId="2" fillId="2" borderId="9" xfId="0" applyFont="1" applyFill="1" applyBorder="1" applyAlignment="1">
      <alignment horizontal="left"/>
    </xf>
    <xf numFmtId="0" fontId="0" fillId="2" borderId="4" xfId="0" applyFill="1" applyBorder="1" applyAlignment="1">
      <alignment horizontal="left"/>
    </xf>
    <xf numFmtId="0" fontId="0" fillId="2" borderId="5" xfId="0" applyFill="1" applyBorder="1" applyAlignment="1">
      <alignment horizontal="left"/>
    </xf>
    <xf numFmtId="0" fontId="0" fillId="2" borderId="11" xfId="0" applyFill="1" applyBorder="1" applyAlignment="1">
      <alignment horizontal="left"/>
    </xf>
    <xf numFmtId="0" fontId="0" fillId="2" borderId="12" xfId="0" applyFill="1" applyBorder="1"/>
    <xf numFmtId="0" fontId="3" fillId="2" borderId="5" xfId="0" applyFont="1" applyFill="1" applyBorder="1"/>
    <xf numFmtId="0" fontId="3" fillId="2" borderId="8" xfId="0" applyFont="1" applyFill="1" applyBorder="1"/>
    <xf numFmtId="0" fontId="0" fillId="2" borderId="6" xfId="0" applyFill="1" applyBorder="1" applyAlignment="1">
      <alignment horizontal="left"/>
    </xf>
    <xf numFmtId="0" fontId="0" fillId="2" borderId="7" xfId="0" applyFill="1" applyBorder="1"/>
    <xf numFmtId="14" fontId="0" fillId="2" borderId="4" xfId="0" applyNumberFormat="1" applyFill="1" applyBorder="1" applyAlignment="1">
      <alignment horizontal="left"/>
    </xf>
    <xf numFmtId="0" fontId="0" fillId="2" borderId="6" xfId="0" applyFill="1" applyBorder="1" applyAlignment="1">
      <alignment horizontal="left" wrapText="1"/>
    </xf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1" fontId="3" fillId="3" borderId="4" xfId="0" applyNumberFormat="1" applyFont="1" applyFill="1" applyBorder="1" applyAlignment="1">
      <alignment horizontal="left"/>
    </xf>
    <xf numFmtId="1" fontId="3" fillId="3" borderId="4" xfId="0" applyNumberFormat="1" applyFont="1" applyFill="1" applyBorder="1" applyAlignment="1">
      <alignment horizontal="right"/>
    </xf>
    <xf numFmtId="1" fontId="3" fillId="3" borderId="5" xfId="0" applyNumberFormat="1" applyFont="1" applyFill="1" applyBorder="1" applyAlignment="1">
      <alignment horizontal="right"/>
    </xf>
    <xf numFmtId="1" fontId="3" fillId="0" borderId="4" xfId="0" applyNumberFormat="1" applyFont="1" applyBorder="1" applyAlignment="1">
      <alignment horizontal="center"/>
    </xf>
    <xf numFmtId="1" fontId="3" fillId="0" borderId="5" xfId="0" applyNumberFormat="1" applyFont="1" applyBorder="1" applyAlignment="1">
      <alignment horizontal="center"/>
    </xf>
    <xf numFmtId="1" fontId="3" fillId="0" borderId="8" xfId="0" applyNumberFormat="1" applyFont="1" applyBorder="1" applyAlignment="1">
      <alignment horizontal="right"/>
    </xf>
    <xf numFmtId="1" fontId="3" fillId="0" borderId="5" xfId="0" applyNumberFormat="1" applyFont="1" applyBorder="1" applyAlignment="1">
      <alignment horizontal="right"/>
    </xf>
    <xf numFmtId="1" fontId="3" fillId="0" borderId="6" xfId="0" applyNumberFormat="1" applyFont="1" applyBorder="1" applyAlignment="1">
      <alignment horizontal="right"/>
    </xf>
    <xf numFmtId="14" fontId="3" fillId="0" borderId="4" xfId="0" applyNumberFormat="1" applyFont="1" applyBorder="1" applyAlignment="1">
      <alignment horizontal="right"/>
    </xf>
    <xf numFmtId="1" fontId="3" fillId="0" borderId="6" xfId="0" applyNumberFormat="1" applyFont="1" applyBorder="1" applyAlignment="1">
      <alignment horizontal="right" wrapText="1"/>
    </xf>
    <xf numFmtId="0" fontId="3" fillId="0" borderId="0" xfId="0" applyFont="1"/>
    <xf numFmtId="0" fontId="3" fillId="0" borderId="4" xfId="0" applyFont="1" applyBorder="1"/>
    <xf numFmtId="0" fontId="3" fillId="0" borderId="6" xfId="0" applyFont="1" applyBorder="1"/>
    <xf numFmtId="1" fontId="3" fillId="3" borderId="4" xfId="0" applyNumberFormat="1" applyFont="1" applyFill="1" applyBorder="1" applyAlignment="1">
      <alignment horizontal="center"/>
    </xf>
    <xf numFmtId="1" fontId="3" fillId="3" borderId="5" xfId="0" applyNumberFormat="1" applyFont="1" applyFill="1" applyBorder="1" applyAlignment="1">
      <alignment horizontal="center"/>
    </xf>
    <xf numFmtId="1" fontId="3" fillId="3" borderId="8" xfId="0" applyNumberFormat="1" applyFont="1" applyFill="1" applyBorder="1" applyAlignment="1">
      <alignment horizontal="right"/>
    </xf>
    <xf numFmtId="1" fontId="3" fillId="3" borderId="6" xfId="0" applyNumberFormat="1" applyFont="1" applyFill="1" applyBorder="1" applyAlignment="1">
      <alignment horizontal="right"/>
    </xf>
    <xf numFmtId="14" fontId="3" fillId="3" borderId="4" xfId="0" applyNumberFormat="1" applyFont="1" applyFill="1" applyBorder="1" applyAlignment="1">
      <alignment horizontal="right"/>
    </xf>
    <xf numFmtId="1" fontId="3" fillId="3" borderId="6" xfId="0" applyNumberFormat="1" applyFont="1" applyFill="1" applyBorder="1" applyAlignment="1">
      <alignment horizontal="right" wrapText="1"/>
    </xf>
    <xf numFmtId="1" fontId="0" fillId="3" borderId="5" xfId="0" applyNumberFormat="1" applyFill="1" applyBorder="1" applyAlignment="1">
      <alignment horizontal="right"/>
    </xf>
    <xf numFmtId="1" fontId="0" fillId="3" borderId="4" xfId="0" applyNumberFormat="1" applyFill="1" applyBorder="1" applyAlignment="1">
      <alignment horizontal="right"/>
    </xf>
    <xf numFmtId="1" fontId="0" fillId="3" borderId="4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right"/>
    </xf>
    <xf numFmtId="14" fontId="0" fillId="3" borderId="4" xfId="0" applyNumberFormat="1" applyFill="1" applyBorder="1" applyAlignment="1">
      <alignment horizontal="right"/>
    </xf>
    <xf numFmtId="1" fontId="0" fillId="3" borderId="6" xfId="0" applyNumberFormat="1" applyFill="1" applyBorder="1" applyAlignment="1">
      <alignment horizontal="right" wrapText="1"/>
    </xf>
    <xf numFmtId="0" fontId="0" fillId="3" borderId="4" xfId="0" applyFill="1" applyBorder="1"/>
    <xf numFmtId="0" fontId="2" fillId="2" borderId="4" xfId="0" applyFont="1" applyFill="1" applyBorder="1"/>
    <xf numFmtId="1" fontId="0" fillId="2" borderId="4" xfId="0" applyNumberFormat="1" applyFill="1" applyBorder="1" applyAlignment="1">
      <alignment horizontal="right"/>
    </xf>
    <xf numFmtId="1" fontId="0" fillId="2" borderId="5" xfId="0" applyNumberFormat="1" applyFill="1" applyBorder="1" applyAlignment="1">
      <alignment horizontal="right"/>
    </xf>
    <xf numFmtId="1" fontId="0" fillId="2" borderId="4" xfId="0" applyNumberFormat="1" applyFill="1" applyBorder="1" applyAlignment="1">
      <alignment horizontal="center"/>
    </xf>
    <xf numFmtId="1" fontId="3" fillId="2" borderId="5" xfId="0" applyNumberFormat="1" applyFont="1" applyFill="1" applyBorder="1" applyAlignment="1">
      <alignment horizontal="center"/>
    </xf>
    <xf numFmtId="1" fontId="1" fillId="2" borderId="5" xfId="0" applyNumberFormat="1" applyFont="1" applyFill="1" applyBorder="1" applyAlignment="1">
      <alignment horizontal="right"/>
    </xf>
    <xf numFmtId="1" fontId="0" fillId="2" borderId="6" xfId="0" applyNumberFormat="1" applyFill="1" applyBorder="1" applyAlignment="1">
      <alignment horizontal="right"/>
    </xf>
    <xf numFmtId="1" fontId="3" fillId="2" borderId="5" xfId="0" applyNumberFormat="1" applyFont="1" applyFill="1" applyBorder="1" applyAlignment="1">
      <alignment horizontal="right"/>
    </xf>
    <xf numFmtId="14" fontId="0" fillId="2" borderId="4" xfId="0" applyNumberFormat="1" applyFill="1" applyBorder="1" applyAlignment="1">
      <alignment horizontal="right"/>
    </xf>
    <xf numFmtId="1" fontId="0" fillId="2" borderId="6" xfId="0" applyNumberFormat="1" applyFill="1" applyBorder="1" applyAlignment="1">
      <alignment horizontal="right" wrapText="1"/>
    </xf>
    <xf numFmtId="0" fontId="0" fillId="0" borderId="0" xfId="0" applyFill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F93B4-1049-479A-BB17-999674712852}">
  <dimension ref="A1:AF14"/>
  <sheetViews>
    <sheetView tabSelected="1" workbookViewId="0">
      <selection activeCell="D18" sqref="D18"/>
    </sheetView>
  </sheetViews>
  <sheetFormatPr defaultRowHeight="15" x14ac:dyDescent="0.25"/>
  <cols>
    <col min="1" max="1" width="12.7109375" bestFit="1" customWidth="1"/>
    <col min="2" max="2" width="16.85546875" bestFit="1" customWidth="1"/>
    <col min="3" max="3" width="9.42578125" bestFit="1" customWidth="1"/>
    <col min="4" max="4" width="12.140625" bestFit="1" customWidth="1"/>
    <col min="5" max="5" width="9" bestFit="1" customWidth="1"/>
    <col min="6" max="9" width="5" bestFit="1" customWidth="1"/>
    <col min="10" max="10" width="4.5703125" bestFit="1" customWidth="1"/>
    <col min="11" max="11" width="7.5703125" bestFit="1" customWidth="1"/>
    <col min="12" max="12" width="5" bestFit="1" customWidth="1"/>
    <col min="13" max="13" width="4.5703125" bestFit="1" customWidth="1"/>
    <col min="14" max="14" width="12.140625" bestFit="1" customWidth="1"/>
    <col min="15" max="15" width="9" bestFit="1" customWidth="1"/>
    <col min="16" max="19" width="5" bestFit="1" customWidth="1"/>
    <col min="20" max="20" width="4.5703125" bestFit="1" customWidth="1"/>
    <col min="21" max="21" width="11.140625" bestFit="1" customWidth="1"/>
    <col min="22" max="22" width="5" bestFit="1" customWidth="1"/>
    <col min="23" max="23" width="4.5703125" bestFit="1" customWidth="1"/>
    <col min="24" max="24" width="5.140625" bestFit="1" customWidth="1"/>
    <col min="25" max="25" width="9" bestFit="1" customWidth="1"/>
    <col min="27" max="27" width="10" bestFit="1" customWidth="1"/>
    <col min="28" max="28" width="10.28515625" bestFit="1" customWidth="1"/>
    <col min="29" max="29" width="6.85546875" bestFit="1" customWidth="1"/>
    <col min="30" max="30" width="6.5703125" bestFit="1" customWidth="1"/>
    <col min="31" max="31" width="8.28515625" bestFit="1" customWidth="1"/>
    <col min="32" max="32" width="13.28515625" bestFit="1" customWidth="1"/>
  </cols>
  <sheetData>
    <row r="1" spans="1:32" x14ac:dyDescent="0.25">
      <c r="A1" s="70" t="s">
        <v>0</v>
      </c>
      <c r="B1" s="71"/>
      <c r="C1" s="72"/>
      <c r="D1" s="70" t="s">
        <v>1</v>
      </c>
      <c r="E1" s="71"/>
      <c r="F1" s="71"/>
      <c r="G1" s="71"/>
      <c r="H1" s="71"/>
      <c r="I1" s="71"/>
      <c r="J1" s="71"/>
      <c r="K1" s="71"/>
      <c r="L1" s="71"/>
      <c r="M1" s="72"/>
      <c r="N1" s="70" t="s">
        <v>2</v>
      </c>
      <c r="O1" s="71"/>
      <c r="P1" s="71"/>
      <c r="Q1" s="71"/>
      <c r="R1" s="71"/>
      <c r="S1" s="71"/>
      <c r="T1" s="71"/>
      <c r="U1" s="71"/>
      <c r="V1" s="71"/>
      <c r="W1" s="72"/>
      <c r="X1" s="70" t="s">
        <v>3</v>
      </c>
      <c r="Y1" s="72"/>
      <c r="AA1" s="73" t="s">
        <v>4</v>
      </c>
      <c r="AB1" s="74"/>
      <c r="AC1" s="74"/>
      <c r="AD1" s="74"/>
      <c r="AE1" s="75"/>
    </row>
    <row r="2" spans="1:32" ht="30" x14ac:dyDescent="0.25">
      <c r="A2" s="1" t="s">
        <v>5</v>
      </c>
      <c r="B2" s="2" t="s">
        <v>6</v>
      </c>
      <c r="C2" s="3" t="s">
        <v>7</v>
      </c>
      <c r="D2" s="1" t="s">
        <v>8</v>
      </c>
      <c r="E2" s="76" t="s">
        <v>9</v>
      </c>
      <c r="F2" s="77"/>
      <c r="G2" s="4" t="s">
        <v>10</v>
      </c>
      <c r="H2" s="4" t="s">
        <v>11</v>
      </c>
      <c r="I2" s="4" t="s">
        <v>12</v>
      </c>
      <c r="J2" s="4" t="s">
        <v>13</v>
      </c>
      <c r="K2" s="78" t="s">
        <v>14</v>
      </c>
      <c r="L2" s="79"/>
      <c r="M2" s="5" t="s">
        <v>15</v>
      </c>
      <c r="N2" s="1" t="s">
        <v>8</v>
      </c>
      <c r="O2" s="76" t="s">
        <v>16</v>
      </c>
      <c r="P2" s="77"/>
      <c r="Q2" s="4" t="s">
        <v>17</v>
      </c>
      <c r="R2" s="4" t="s">
        <v>18</v>
      </c>
      <c r="S2" s="4" t="s">
        <v>19</v>
      </c>
      <c r="T2" s="4" t="s">
        <v>20</v>
      </c>
      <c r="U2" s="78" t="s">
        <v>21</v>
      </c>
      <c r="V2" s="79"/>
      <c r="W2" s="5" t="s">
        <v>22</v>
      </c>
      <c r="X2" s="6" t="s">
        <v>23</v>
      </c>
      <c r="Y2" s="7" t="s">
        <v>24</v>
      </c>
      <c r="AA2" s="8" t="s">
        <v>25</v>
      </c>
      <c r="AB2" s="3" t="s">
        <v>26</v>
      </c>
      <c r="AC2" s="3" t="s">
        <v>27</v>
      </c>
      <c r="AD2" s="3" t="s">
        <v>28</v>
      </c>
      <c r="AE2" s="9" t="s">
        <v>29</v>
      </c>
      <c r="AF2" s="69" t="s">
        <v>54</v>
      </c>
    </row>
    <row r="3" spans="1:32" x14ac:dyDescent="0.25">
      <c r="A3" s="10"/>
      <c r="B3" s="1" t="s">
        <v>30</v>
      </c>
      <c r="C3" s="4" t="s">
        <v>31</v>
      </c>
      <c r="D3" s="11" t="s">
        <v>32</v>
      </c>
      <c r="E3" s="4" t="s">
        <v>33</v>
      </c>
      <c r="F3" s="12" t="s">
        <v>34</v>
      </c>
      <c r="G3" s="4" t="s">
        <v>34</v>
      </c>
      <c r="H3" s="4" t="s">
        <v>34</v>
      </c>
      <c r="I3" s="4" t="s">
        <v>34</v>
      </c>
      <c r="J3" s="4" t="s">
        <v>34</v>
      </c>
      <c r="K3" s="13" t="s">
        <v>35</v>
      </c>
      <c r="L3" s="14" t="s">
        <v>34</v>
      </c>
      <c r="M3" s="5" t="s">
        <v>34</v>
      </c>
      <c r="N3" s="11" t="s">
        <v>32</v>
      </c>
      <c r="O3" s="4" t="s">
        <v>33</v>
      </c>
      <c r="P3" s="12" t="s">
        <v>34</v>
      </c>
      <c r="Q3" s="4" t="s">
        <v>34</v>
      </c>
      <c r="R3" s="4" t="s">
        <v>34</v>
      </c>
      <c r="S3" s="4" t="s">
        <v>34</v>
      </c>
      <c r="T3" s="4" t="s">
        <v>34</v>
      </c>
      <c r="U3" s="13" t="s">
        <v>35</v>
      </c>
      <c r="V3" s="14" t="s">
        <v>34</v>
      </c>
      <c r="W3" s="5" t="s">
        <v>34</v>
      </c>
      <c r="X3" s="15"/>
      <c r="Y3" s="16"/>
      <c r="AA3" s="8"/>
      <c r="AB3" s="17" t="s">
        <v>34</v>
      </c>
      <c r="AC3" s="17" t="s">
        <v>34</v>
      </c>
      <c r="AD3" s="17" t="s">
        <v>34</v>
      </c>
      <c r="AE3" s="18" t="s">
        <v>34</v>
      </c>
    </row>
    <row r="4" spans="1:32" x14ac:dyDescent="0.25">
      <c r="A4" s="19" t="s">
        <v>36</v>
      </c>
      <c r="B4" s="20"/>
      <c r="C4" s="21"/>
      <c r="D4" s="22"/>
      <c r="E4" s="21"/>
      <c r="F4" s="23"/>
      <c r="G4" s="21"/>
      <c r="H4" s="21"/>
      <c r="I4" s="21"/>
      <c r="J4" s="21"/>
      <c r="K4" s="24"/>
      <c r="L4" s="25"/>
      <c r="M4" s="26"/>
      <c r="N4" s="22"/>
      <c r="O4" s="21"/>
      <c r="P4" s="27"/>
      <c r="Q4" s="21"/>
      <c r="R4" s="21"/>
      <c r="S4" s="21"/>
      <c r="T4" s="21"/>
      <c r="U4" s="24"/>
      <c r="V4" s="25"/>
      <c r="W4" s="26"/>
      <c r="X4" s="28"/>
      <c r="Y4" s="29"/>
      <c r="AA4" s="30"/>
      <c r="AB4" s="31"/>
      <c r="AC4" s="31"/>
      <c r="AD4" s="31"/>
      <c r="AE4" s="32"/>
    </row>
    <row r="5" spans="1:32" x14ac:dyDescent="0.25">
      <c r="A5" s="33" t="s">
        <v>47</v>
      </c>
      <c r="B5" s="34">
        <v>132</v>
      </c>
      <c r="C5" s="35">
        <v>1</v>
      </c>
      <c r="D5" s="46" t="s">
        <v>44</v>
      </c>
      <c r="E5" s="47" t="s">
        <v>38</v>
      </c>
      <c r="F5" s="48">
        <v>455</v>
      </c>
      <c r="G5" s="35">
        <v>2450</v>
      </c>
      <c r="H5" s="35">
        <v>1234</v>
      </c>
      <c r="I5" s="35">
        <v>1111</v>
      </c>
      <c r="J5" s="35" t="s">
        <v>39</v>
      </c>
      <c r="K5" s="39" t="s">
        <v>40</v>
      </c>
      <c r="L5" s="39">
        <v>879</v>
      </c>
      <c r="M5" s="49" t="s">
        <v>39</v>
      </c>
      <c r="N5" s="46" t="s">
        <v>44</v>
      </c>
      <c r="O5" s="47" t="s">
        <v>38</v>
      </c>
      <c r="P5" s="35">
        <v>456</v>
      </c>
      <c r="Q5" s="35">
        <v>2411</v>
      </c>
      <c r="R5" s="35">
        <v>1250</v>
      </c>
      <c r="S5" s="35">
        <v>1250</v>
      </c>
      <c r="T5" s="35" t="s">
        <v>39</v>
      </c>
      <c r="U5" s="39" t="str">
        <f t="shared" ref="U5:V6" si="0">K5</f>
        <v>Relæ</v>
      </c>
      <c r="V5" s="39">
        <f t="shared" si="0"/>
        <v>879</v>
      </c>
      <c r="W5" s="49" t="s">
        <v>39</v>
      </c>
      <c r="X5" s="50"/>
      <c r="Y5" s="51"/>
      <c r="Z5" s="43"/>
      <c r="AA5" s="44" t="s">
        <v>56</v>
      </c>
      <c r="AB5" s="13">
        <v>700</v>
      </c>
      <c r="AC5" s="13">
        <v>1100</v>
      </c>
      <c r="AD5" s="13">
        <v>900</v>
      </c>
      <c r="AE5" s="45">
        <v>800</v>
      </c>
      <c r="AF5" t="s">
        <v>55</v>
      </c>
    </row>
    <row r="6" spans="1:32" x14ac:dyDescent="0.25">
      <c r="A6" s="33" t="s">
        <v>48</v>
      </c>
      <c r="B6" s="34">
        <v>132</v>
      </c>
      <c r="C6" s="35">
        <v>1</v>
      </c>
      <c r="D6" s="46" t="s">
        <v>44</v>
      </c>
      <c r="E6" s="47" t="s">
        <v>38</v>
      </c>
      <c r="F6" s="48">
        <v>455</v>
      </c>
      <c r="G6" s="35">
        <v>2450</v>
      </c>
      <c r="H6" s="35">
        <v>1234</v>
      </c>
      <c r="I6" s="35">
        <v>1111</v>
      </c>
      <c r="J6" s="35" t="s">
        <v>39</v>
      </c>
      <c r="K6" s="39" t="s">
        <v>40</v>
      </c>
      <c r="L6" s="39">
        <v>879</v>
      </c>
      <c r="M6" s="49" t="s">
        <v>39</v>
      </c>
      <c r="N6" s="46" t="s">
        <v>44</v>
      </c>
      <c r="O6" s="47" t="s">
        <v>38</v>
      </c>
      <c r="P6" s="35">
        <v>456</v>
      </c>
      <c r="Q6" s="35">
        <v>2411</v>
      </c>
      <c r="R6" s="35">
        <v>1250</v>
      </c>
      <c r="S6" s="35">
        <v>1250</v>
      </c>
      <c r="T6" s="35" t="s">
        <v>39</v>
      </c>
      <c r="U6" s="39" t="str">
        <f t="shared" si="0"/>
        <v>Relæ</v>
      </c>
      <c r="V6" s="39">
        <f t="shared" si="0"/>
        <v>879</v>
      </c>
      <c r="W6" s="49" t="s">
        <v>39</v>
      </c>
      <c r="X6" s="50"/>
      <c r="Y6" s="51"/>
      <c r="Z6" s="43"/>
      <c r="AA6" s="44" t="s">
        <v>56</v>
      </c>
      <c r="AB6" s="13">
        <v>700</v>
      </c>
      <c r="AC6" s="13">
        <v>1100</v>
      </c>
      <c r="AD6" s="13">
        <v>900</v>
      </c>
      <c r="AE6" s="45">
        <v>800</v>
      </c>
      <c r="AF6" t="s">
        <v>55</v>
      </c>
    </row>
    <row r="7" spans="1:32" x14ac:dyDescent="0.25">
      <c r="A7" s="58" t="s">
        <v>49</v>
      </c>
      <c r="B7" s="53">
        <v>132</v>
      </c>
      <c r="C7" s="52">
        <v>1</v>
      </c>
      <c r="D7" s="54" t="s">
        <v>37</v>
      </c>
      <c r="E7" s="47" t="s">
        <v>38</v>
      </c>
      <c r="F7" s="52">
        <v>1111</v>
      </c>
      <c r="G7" s="35" t="s">
        <v>39</v>
      </c>
      <c r="H7" s="35" t="s">
        <v>39</v>
      </c>
      <c r="I7" s="35" t="s">
        <v>39</v>
      </c>
      <c r="J7" s="52" t="s">
        <v>39</v>
      </c>
      <c r="K7" s="39" t="s">
        <v>40</v>
      </c>
      <c r="L7" s="39">
        <v>2290</v>
      </c>
      <c r="M7" s="55" t="s">
        <v>39</v>
      </c>
      <c r="N7" s="54" t="s">
        <v>37</v>
      </c>
      <c r="O7" s="47" t="s">
        <v>38</v>
      </c>
      <c r="P7" s="52">
        <v>3333</v>
      </c>
      <c r="Q7" s="52">
        <v>3179</v>
      </c>
      <c r="R7" s="52">
        <v>3150</v>
      </c>
      <c r="S7" s="52">
        <v>3150</v>
      </c>
      <c r="T7" s="52" t="s">
        <v>39</v>
      </c>
      <c r="U7" s="39" t="s">
        <v>40</v>
      </c>
      <c r="V7" s="39">
        <v>2290</v>
      </c>
      <c r="W7" s="55" t="s">
        <v>39</v>
      </c>
      <c r="X7" s="56"/>
      <c r="Y7" s="57"/>
      <c r="AA7" s="8"/>
      <c r="AB7" s="17"/>
      <c r="AC7" s="17"/>
      <c r="AD7" s="17"/>
      <c r="AE7" s="18"/>
      <c r="AF7" t="s">
        <v>55</v>
      </c>
    </row>
    <row r="8" spans="1:32" x14ac:dyDescent="0.25">
      <c r="A8" s="58" t="s">
        <v>50</v>
      </c>
      <c r="B8" s="53">
        <v>132</v>
      </c>
      <c r="C8" s="52">
        <v>2</v>
      </c>
      <c r="D8" s="54" t="s">
        <v>37</v>
      </c>
      <c r="E8" s="47" t="s">
        <v>38</v>
      </c>
      <c r="F8" s="52">
        <v>1111</v>
      </c>
      <c r="G8" s="35" t="s">
        <v>39</v>
      </c>
      <c r="H8" s="35" t="s">
        <v>39</v>
      </c>
      <c r="I8" s="35" t="s">
        <v>39</v>
      </c>
      <c r="J8" s="52" t="s">
        <v>39</v>
      </c>
      <c r="K8" s="39" t="s">
        <v>40</v>
      </c>
      <c r="L8" s="39">
        <v>2290</v>
      </c>
      <c r="M8" s="55" t="s">
        <v>39</v>
      </c>
      <c r="N8" s="54" t="s">
        <v>37</v>
      </c>
      <c r="O8" s="47" t="s">
        <v>38</v>
      </c>
      <c r="P8" s="52">
        <v>3333</v>
      </c>
      <c r="Q8" s="52">
        <v>3179</v>
      </c>
      <c r="R8" s="52">
        <v>3150</v>
      </c>
      <c r="S8" s="52">
        <v>3150</v>
      </c>
      <c r="T8" s="52" t="s">
        <v>39</v>
      </c>
      <c r="U8" s="39" t="s">
        <v>40</v>
      </c>
      <c r="V8" s="39">
        <v>2290</v>
      </c>
      <c r="W8" s="55" t="s">
        <v>39</v>
      </c>
      <c r="X8" s="56"/>
      <c r="Y8" s="57"/>
      <c r="AA8" s="8"/>
      <c r="AB8" s="17"/>
      <c r="AC8" s="17"/>
      <c r="AD8" s="17"/>
      <c r="AE8" s="18"/>
      <c r="AF8" t="s">
        <v>55</v>
      </c>
    </row>
    <row r="9" spans="1:32" x14ac:dyDescent="0.25">
      <c r="A9" s="59" t="s">
        <v>51</v>
      </c>
      <c r="B9" s="60"/>
      <c r="C9" s="61"/>
      <c r="D9" s="62"/>
      <c r="E9" s="63"/>
      <c r="F9" s="61"/>
      <c r="G9" s="61"/>
      <c r="H9" s="61"/>
      <c r="I9" s="61"/>
      <c r="J9" s="61"/>
      <c r="K9" s="64"/>
      <c r="L9" s="64"/>
      <c r="M9" s="65"/>
      <c r="N9" s="62"/>
      <c r="O9" s="63"/>
      <c r="P9" s="61"/>
      <c r="Q9" s="61"/>
      <c r="R9" s="61"/>
      <c r="S9" s="61"/>
      <c r="T9" s="61"/>
      <c r="U9" s="66"/>
      <c r="V9" s="66"/>
      <c r="W9" s="65"/>
      <c r="X9" s="67"/>
      <c r="Y9" s="68"/>
      <c r="AA9" s="30"/>
      <c r="AB9" s="31"/>
      <c r="AC9" s="31"/>
      <c r="AD9" s="31"/>
      <c r="AE9" s="32"/>
    </row>
    <row r="10" spans="1:32" x14ac:dyDescent="0.25">
      <c r="A10" s="33" t="s">
        <v>45</v>
      </c>
      <c r="B10" s="34">
        <v>150</v>
      </c>
      <c r="C10" s="35">
        <v>1</v>
      </c>
      <c r="D10" s="36" t="s">
        <v>37</v>
      </c>
      <c r="E10" s="37" t="s">
        <v>38</v>
      </c>
      <c r="F10" s="38">
        <v>1222</v>
      </c>
      <c r="G10" s="39">
        <v>3111</v>
      </c>
      <c r="H10" s="39">
        <v>1555</v>
      </c>
      <c r="I10" s="39">
        <v>2444</v>
      </c>
      <c r="J10" s="39" t="s">
        <v>39</v>
      </c>
      <c r="K10" s="39" t="s">
        <v>40</v>
      </c>
      <c r="L10" s="39">
        <v>2444</v>
      </c>
      <c r="M10" s="40" t="s">
        <v>39</v>
      </c>
      <c r="N10" s="36" t="s">
        <v>37</v>
      </c>
      <c r="O10" s="37" t="s">
        <v>38</v>
      </c>
      <c r="P10" s="39">
        <v>1222</v>
      </c>
      <c r="Q10" s="39">
        <v>3111</v>
      </c>
      <c r="R10" s="39">
        <v>1666</v>
      </c>
      <c r="S10" s="39">
        <v>1666</v>
      </c>
      <c r="T10" s="39" t="s">
        <v>39</v>
      </c>
      <c r="U10" t="s">
        <v>41</v>
      </c>
      <c r="V10" s="39">
        <v>1593</v>
      </c>
      <c r="W10" s="40" t="s">
        <v>39</v>
      </c>
      <c r="X10" s="41" t="s">
        <v>42</v>
      </c>
      <c r="Y10" s="42"/>
      <c r="Z10" s="43"/>
      <c r="AA10" s="44" t="s">
        <v>57</v>
      </c>
      <c r="AB10" s="13">
        <v>800</v>
      </c>
      <c r="AC10" s="13">
        <v>1200</v>
      </c>
      <c r="AD10" s="13">
        <v>1000</v>
      </c>
      <c r="AE10" s="45">
        <v>900</v>
      </c>
      <c r="AF10" t="s">
        <v>55</v>
      </c>
    </row>
    <row r="11" spans="1:32" x14ac:dyDescent="0.25">
      <c r="A11" s="59" t="s">
        <v>52</v>
      </c>
      <c r="B11" s="60"/>
      <c r="C11" s="61"/>
      <c r="D11" s="62"/>
      <c r="E11" s="63"/>
      <c r="F11" s="61"/>
      <c r="G11" s="61"/>
      <c r="H11" s="61"/>
      <c r="I11" s="61"/>
      <c r="J11" s="61"/>
      <c r="K11" s="64"/>
      <c r="L11" s="64"/>
      <c r="M11" s="65"/>
      <c r="N11" s="62"/>
      <c r="O11" s="63"/>
      <c r="P11" s="61"/>
      <c r="Q11" s="61"/>
      <c r="R11" s="61"/>
      <c r="S11" s="61"/>
      <c r="T11" s="61"/>
      <c r="U11" s="66"/>
      <c r="V11" s="66"/>
      <c r="W11" s="65"/>
      <c r="X11" s="67"/>
      <c r="Y11" s="68"/>
      <c r="AA11" s="30"/>
      <c r="AB11" s="31"/>
      <c r="AC11" s="31"/>
      <c r="AD11" s="31"/>
      <c r="AE11" s="32"/>
    </row>
    <row r="12" spans="1:32" x14ac:dyDescent="0.25">
      <c r="A12" s="33" t="s">
        <v>46</v>
      </c>
      <c r="B12" s="34">
        <v>220</v>
      </c>
      <c r="C12" s="35">
        <v>1</v>
      </c>
      <c r="D12" s="46" t="s">
        <v>37</v>
      </c>
      <c r="E12" s="47" t="s">
        <v>38</v>
      </c>
      <c r="F12" s="48">
        <v>1333</v>
      </c>
      <c r="G12" s="35">
        <v>3111</v>
      </c>
      <c r="H12" s="35">
        <v>1555</v>
      </c>
      <c r="I12" s="35">
        <v>2444</v>
      </c>
      <c r="J12" s="35" t="s">
        <v>39</v>
      </c>
      <c r="K12" s="39" t="s">
        <v>40</v>
      </c>
      <c r="L12" s="39">
        <v>2111</v>
      </c>
      <c r="M12" s="49" t="s">
        <v>39</v>
      </c>
      <c r="N12" s="46" t="s">
        <v>37</v>
      </c>
      <c r="O12" s="47" t="s">
        <v>43</v>
      </c>
      <c r="P12" s="35">
        <v>1444</v>
      </c>
      <c r="Q12" s="35">
        <v>2488</v>
      </c>
      <c r="R12" s="35" t="s">
        <v>39</v>
      </c>
      <c r="S12" s="35">
        <v>2500</v>
      </c>
      <c r="T12" s="35" t="s">
        <v>39</v>
      </c>
      <c r="U12" s="39" t="str">
        <f>K12</f>
        <v>Relæ</v>
      </c>
      <c r="V12" s="39">
        <v>2617</v>
      </c>
      <c r="W12" s="49" t="s">
        <v>39</v>
      </c>
      <c r="X12" s="50"/>
      <c r="Y12" s="51"/>
      <c r="Z12" s="43"/>
      <c r="AA12" s="44"/>
      <c r="AB12" s="13"/>
      <c r="AC12" s="13"/>
      <c r="AD12" s="13"/>
      <c r="AE12" s="45"/>
      <c r="AF12" t="s">
        <v>55</v>
      </c>
    </row>
    <row r="13" spans="1:32" x14ac:dyDescent="0.25">
      <c r="A13" s="59" t="s">
        <v>53</v>
      </c>
      <c r="B13" s="60"/>
      <c r="C13" s="61"/>
      <c r="D13" s="62"/>
      <c r="E13" s="63"/>
      <c r="F13" s="61"/>
      <c r="G13" s="61"/>
      <c r="H13" s="61"/>
      <c r="I13" s="61"/>
      <c r="J13" s="61"/>
      <c r="K13" s="64"/>
      <c r="L13" s="64"/>
      <c r="M13" s="65"/>
      <c r="N13" s="62"/>
      <c r="O13" s="63"/>
      <c r="P13" s="61"/>
      <c r="Q13" s="61"/>
      <c r="R13" s="61"/>
      <c r="S13" s="61"/>
      <c r="T13" s="61"/>
      <c r="U13" s="66"/>
      <c r="V13" s="66"/>
      <c r="W13" s="65"/>
      <c r="X13" s="67"/>
      <c r="Y13" s="68"/>
      <c r="AA13" s="30"/>
      <c r="AB13" s="31"/>
      <c r="AC13" s="31"/>
      <c r="AD13" s="31"/>
      <c r="AE13" s="32"/>
    </row>
    <row r="14" spans="1:32" x14ac:dyDescent="0.25">
      <c r="A14" s="58" t="s">
        <v>58</v>
      </c>
      <c r="B14" s="53">
        <v>400</v>
      </c>
      <c r="C14" s="52">
        <v>1</v>
      </c>
      <c r="D14" s="54" t="s">
        <v>37</v>
      </c>
      <c r="E14" s="47" t="s">
        <v>38</v>
      </c>
      <c r="F14" s="52">
        <v>1444</v>
      </c>
      <c r="G14" s="35" t="s">
        <v>39</v>
      </c>
      <c r="H14" s="35" t="s">
        <v>39</v>
      </c>
      <c r="I14" s="35" t="s">
        <v>39</v>
      </c>
      <c r="J14" s="52" t="s">
        <v>39</v>
      </c>
      <c r="K14" s="39" t="s">
        <v>40</v>
      </c>
      <c r="L14" s="39">
        <v>2222</v>
      </c>
      <c r="M14" s="55" t="s">
        <v>39</v>
      </c>
      <c r="N14" s="54" t="s">
        <v>37</v>
      </c>
      <c r="O14" s="47" t="s">
        <v>38</v>
      </c>
      <c r="P14" s="52">
        <v>2999</v>
      </c>
      <c r="Q14" s="52">
        <v>2699</v>
      </c>
      <c r="R14" s="52">
        <v>3150</v>
      </c>
      <c r="S14" s="52">
        <v>3150</v>
      </c>
      <c r="T14" s="52" t="s">
        <v>39</v>
      </c>
      <c r="U14" s="39" t="s">
        <v>40</v>
      </c>
      <c r="V14" s="39">
        <v>2290</v>
      </c>
      <c r="W14" s="55" t="s">
        <v>39</v>
      </c>
      <c r="X14" s="56"/>
      <c r="Y14" s="57"/>
      <c r="AA14" s="8"/>
      <c r="AB14" s="17"/>
      <c r="AC14" s="17"/>
      <c r="AD14" s="17"/>
      <c r="AE14" s="18"/>
      <c r="AF14" t="s">
        <v>55</v>
      </c>
    </row>
  </sheetData>
  <autoFilter ref="A3:AF3" xr:uid="{B63F93B4-1049-479A-BB17-999674712852}"/>
  <mergeCells count="9">
    <mergeCell ref="E2:F2"/>
    <mergeCell ref="K2:L2"/>
    <mergeCell ref="O2:P2"/>
    <mergeCell ref="U2:V2"/>
    <mergeCell ref="A1:C1"/>
    <mergeCell ref="D1:M1"/>
    <mergeCell ref="N1:W1"/>
    <mergeCell ref="X1:Y1"/>
    <mergeCell ref="AA1:AE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1</vt:i4>
      </vt:variant>
    </vt:vector>
  </HeadingPairs>
  <TitlesOfParts>
    <vt:vector size="1" baseType="lpstr">
      <vt:lpstr>Stationsdata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Anders Wittendorff</dc:creator>
  <cp:lastModifiedBy>Anders Wittendorff</cp:lastModifiedBy>
  <dcterms:created xsi:type="dcterms:W3CDTF">2022-03-29T13:16:56Z</dcterms:created>
  <dcterms:modified xsi:type="dcterms:W3CDTF">2022-03-30T09:25:17Z</dcterms:modified>
</cp:coreProperties>
</file>